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24226"/>
  <xr:revisionPtr revIDLastSave="0" documentId="8_{5DC7C6C2-A1AC-487E-982E-C76F10D47DFA}" xr6:coauthVersionLast="47" xr6:coauthVersionMax="47" xr10:uidLastSave="{00000000-0000-0000-0000-000000000000}"/>
  <bookViews>
    <workbookView xWindow="-120" yWindow="-120" windowWidth="29040" windowHeight="15840" tabRatio="768" firstSheet="7" activeTab="7" xr2:uid="{00000000-000D-0000-FFFF-FFFF00000000}"/>
  </bookViews>
  <sheets>
    <sheet name="Template" sheetId="1" state="hidden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7" l="1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</calcChain>
</file>

<file path=xl/sharedStrings.xml><?xml version="1.0" encoding="utf-8"?>
<sst xmlns="http://schemas.openxmlformats.org/spreadsheetml/2006/main" count="299" uniqueCount="23">
  <si>
    <t>Process Analysis - Flow Totals in MGD</t>
  </si>
  <si>
    <t>Odor Scrubber</t>
  </si>
  <si>
    <t>Kgal</t>
  </si>
  <si>
    <t>Influent 16"</t>
  </si>
  <si>
    <t>Influent 12"</t>
  </si>
  <si>
    <t>Influent 8"</t>
  </si>
  <si>
    <t>Influent</t>
  </si>
  <si>
    <t>Influent Area Velocity</t>
  </si>
  <si>
    <t>Effluent</t>
  </si>
  <si>
    <t>RAS</t>
  </si>
  <si>
    <t>WAS</t>
  </si>
  <si>
    <t>Hingham</t>
  </si>
  <si>
    <t>pH</t>
  </si>
  <si>
    <t>ORP</t>
  </si>
  <si>
    <t>Date</t>
  </si>
  <si>
    <t>Total</t>
  </si>
  <si>
    <t>Max</t>
  </si>
  <si>
    <t>Min</t>
  </si>
  <si>
    <t>All Flows</t>
  </si>
  <si>
    <t>Avg</t>
  </si>
  <si>
    <t>02-31-2026</t>
  </si>
  <si>
    <t>04-31-2026</t>
  </si>
  <si>
    <t>06-31-2026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</si>
</sst>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9">
    <font>
      <sz val="10"/>
      <name val="Arial"/>
    </font>
    <font>
      <sz val="11"/>
      <name val="Arial"/>
      <family val="2"/>
    </font>
    <font>
      <sz val="11"/>
      <color indexed="8"/>
      <name val="Arial"/>
      <family val="2"/>
    </font>
    <font>
      <b/>
      <u/>
      <sz val="18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4" fontId="1" fillId="2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 applyProtection="1">
      <alignment horizontal="center" vertical="center"/>
      <protection locked="0"/>
    </xf>
    <xf numFmtId="4" fontId="2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" fontId="4" fillId="3" borderId="0" xfId="0" applyNumberFormat="1" applyFont="1" applyFill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1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" fontId="6" fillId="5" borderId="5" xfId="0" applyNumberFormat="1" applyFont="1" applyFill="1" applyBorder="1" applyAlignment="1">
      <alignment horizontal="center"/>
    </xf>
    <xf numFmtId="1" fontId="6" fillId="5" borderId="6" xfId="0" applyNumberFormat="1" applyFont="1" applyFill="1" applyBorder="1" applyAlignment="1">
      <alignment horizontal="center"/>
    </xf>
    <xf numFmtId="1" fontId="6" fillId="5" borderId="2" xfId="0" applyNumberFormat="1" applyFont="1" applyFill="1" applyBorder="1" applyAlignment="1">
      <alignment horizontal="center"/>
    </xf>
    <xf numFmtId="1" fontId="6" fillId="5" borderId="4" xfId="0" applyNumberFormat="1" applyFont="1" applyFill="1" applyBorder="1" applyAlignment="1">
      <alignment horizontal="center"/>
    </xf>
    <xf numFmtId="1" fontId="7" fillId="4" borderId="4" xfId="0" applyNumberFormat="1" applyFont="1" applyFill="1" applyBorder="1" applyAlignment="1">
      <alignment horizontal="center"/>
    </xf>
    <xf numFmtId="3" fontId="6" fillId="6" borderId="9" xfId="0" applyNumberFormat="1" applyFont="1" applyFill="1" applyBorder="1" applyAlignment="1">
      <alignment horizontal="center"/>
    </xf>
    <xf numFmtId="3" fontId="4" fillId="0" borderId="0" xfId="0" applyNumberFormat="1" applyFont="1"/>
    <xf numFmtId="1" fontId="4" fillId="4" borderId="4" xfId="0" applyNumberFormat="1" applyFont="1" applyFill="1" applyBorder="1" applyAlignment="1">
      <alignment horizontal="center"/>
    </xf>
    <xf numFmtId="1" fontId="6" fillId="6" borderId="5" xfId="0" applyNumberFormat="1" applyFont="1" applyFill="1" applyBorder="1" applyAlignment="1">
      <alignment horizontal="center"/>
    </xf>
    <xf numFmtId="21" fontId="6" fillId="5" borderId="10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21" fontId="6" fillId="5" borderId="12" xfId="0" applyNumberFormat="1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3" fontId="4" fillId="3" borderId="0" xfId="0" applyNumberFormat="1" applyFont="1" applyFill="1"/>
    <xf numFmtId="0" fontId="0" fillId="7" borderId="4" xfId="0" applyFill="1" applyBorder="1" applyAlignment="1">
      <alignment horizontal="center"/>
    </xf>
    <xf numFmtId="3" fontId="6" fillId="0" borderId="0" xfId="0" applyNumberFormat="1" applyFont="1"/>
    <xf numFmtId="3" fontId="4" fillId="7" borderId="3" xfId="0" applyNumberFormat="1" applyFont="1" applyFill="1" applyBorder="1"/>
    <xf numFmtId="1" fontId="6" fillId="6" borderId="11" xfId="0" applyNumberFormat="1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3" fontId="4" fillId="7" borderId="14" xfId="0" applyNumberFormat="1" applyFont="1" applyFill="1" applyBorder="1"/>
    <xf numFmtId="1" fontId="5" fillId="7" borderId="4" xfId="0" applyNumberFormat="1" applyFont="1" applyFill="1" applyBorder="1" applyAlignment="1">
      <alignment horizontal="center"/>
    </xf>
    <xf numFmtId="3" fontId="6" fillId="6" borderId="10" xfId="0" applyNumberFormat="1" applyFont="1" applyFill="1" applyBorder="1" applyAlignment="1">
      <alignment horizontal="center"/>
    </xf>
    <xf numFmtId="21" fontId="4" fillId="0" borderId="0" xfId="0" applyNumberFormat="1" applyFont="1"/>
    <xf numFmtId="1" fontId="4" fillId="4" borderId="4" xfId="0" applyNumberFormat="1" applyFont="1" applyFill="1" applyBorder="1"/>
    <xf numFmtId="3" fontId="6" fillId="7" borderId="1" xfId="0" applyNumberFormat="1" applyFont="1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 vertical="center"/>
    </xf>
    <xf numFmtId="1" fontId="6" fillId="5" borderId="11" xfId="0" applyNumberFormat="1" applyFont="1" applyFill="1" applyBorder="1" applyAlignment="1">
      <alignment horizontal="center"/>
    </xf>
    <xf numFmtId="3" fontId="5" fillId="4" borderId="7" xfId="0" applyNumberFormat="1" applyFont="1" applyFill="1" applyBorder="1"/>
    <xf numFmtId="3" fontId="3" fillId="3" borderId="12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3" fontId="3" fillId="3" borderId="14" xfId="0" applyNumberFormat="1" applyFont="1" applyFill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wrapText="1"/>
    </xf>
    <xf numFmtId="3" fontId="8" fillId="0" borderId="14" xfId="0" applyNumberFormat="1" applyFont="1" applyBorder="1" applyAlignment="1">
      <alignment horizontal="center" wrapText="1"/>
    </xf>
    <xf numFmtId="3" fontId="8" fillId="0" borderId="11" xfId="0" applyNumberFormat="1" applyFont="1" applyBorder="1" applyAlignment="1">
      <alignment horizontal="center" wrapText="1"/>
    </xf>
    <xf numFmtId="3" fontId="8" fillId="0" borderId="13" xfId="0" applyNumberFormat="1" applyFont="1" applyBorder="1" applyAlignment="1">
      <alignment horizontal="center" wrapText="1"/>
    </xf>
    <xf numFmtId="1" fontId="6" fillId="5" borderId="7" xfId="0" applyNumberFormat="1" applyFont="1" applyFill="1" applyBorder="1" applyAlignment="1">
      <alignment horizontal="center"/>
    </xf>
    <xf numFmtId="1" fontId="6" fillId="5" borderId="4" xfId="0" applyNumberFormat="1" applyFont="1" applyFill="1" applyBorder="1" applyAlignment="1">
      <alignment horizontal="center"/>
    </xf>
    <xf numFmtId="1" fontId="6" fillId="5" borderId="8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7"/>
  <sheetViews>
    <sheetView workbookViewId="0"/>
  </sheetViews>
  <sheetFormatPr defaultRowHeight="12"/>
  <cols>
    <col min="1" max="1" width="10.5703125" style="36" customWidth="1"/>
    <col min="2" max="10" width="7" style="24" customWidth="1"/>
    <col min="11" max="11" width="10.85546875" style="24" bestFit="1" customWidth="1"/>
    <col min="12" max="17" width="7" style="24" customWidth="1"/>
    <col min="18" max="18" width="8.5703125" style="19" customWidth="1"/>
    <col min="19" max="19" width="8.42578125" style="19" customWidth="1"/>
    <col min="20" max="20" width="10.42578125" style="19" customWidth="1"/>
    <col min="21" max="21" width="8" style="19" customWidth="1"/>
    <col min="22" max="22" width="7.5703125" style="19" customWidth="1"/>
    <col min="23" max="16384" width="9.140625" style="19"/>
  </cols>
  <sheetData>
    <row r="1" spans="1:22" s="27" customFormat="1" ht="2.25" customHeight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2" ht="18.75" customHeight="1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  <c r="U2" s="48" t="s">
        <v>1</v>
      </c>
      <c r="V2" s="49"/>
    </row>
    <row r="3" spans="1:22" ht="11.25" customHeight="1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  <c r="U3" s="50"/>
      <c r="V3" s="51"/>
    </row>
    <row r="4" spans="1:22" ht="11.25" customHeight="1">
      <c r="A4" s="41"/>
      <c r="B4" s="28"/>
      <c r="C4" s="34"/>
      <c r="D4" s="17"/>
      <c r="E4" s="17"/>
      <c r="F4" s="17"/>
      <c r="G4" s="17"/>
      <c r="H4" s="11"/>
      <c r="I4" s="11"/>
      <c r="J4" s="11"/>
      <c r="K4" s="11"/>
      <c r="L4" s="11"/>
      <c r="M4" s="11"/>
      <c r="N4" s="11"/>
      <c r="O4" s="11"/>
      <c r="P4" s="20"/>
      <c r="Q4" s="20"/>
      <c r="R4" s="37"/>
      <c r="S4" s="23" t="s">
        <v>2</v>
      </c>
      <c r="T4" s="38" t="s">
        <v>2</v>
      </c>
      <c r="U4" s="30"/>
      <c r="V4" s="33"/>
    </row>
    <row r="5" spans="1:22" ht="13.5" customHeight="1">
      <c r="A5" s="25"/>
      <c r="B5" s="52" t="s">
        <v>3</v>
      </c>
      <c r="C5" s="53"/>
      <c r="D5" s="54"/>
      <c r="E5" s="52" t="s">
        <v>4</v>
      </c>
      <c r="F5" s="53"/>
      <c r="G5" s="54"/>
      <c r="H5" s="55" t="s">
        <v>5</v>
      </c>
      <c r="I5" s="55"/>
      <c r="J5" s="55"/>
      <c r="K5" s="16" t="s">
        <v>6</v>
      </c>
      <c r="L5" s="52" t="s">
        <v>7</v>
      </c>
      <c r="M5" s="53"/>
      <c r="N5" s="54"/>
      <c r="O5" s="52" t="s">
        <v>8</v>
      </c>
      <c r="P5" s="53"/>
      <c r="Q5" s="54"/>
      <c r="R5" s="40" t="s">
        <v>9</v>
      </c>
      <c r="S5" s="31" t="s">
        <v>10</v>
      </c>
      <c r="T5" s="18" t="s">
        <v>11</v>
      </c>
      <c r="U5" s="32" t="s">
        <v>12</v>
      </c>
      <c r="V5" s="18" t="s">
        <v>13</v>
      </c>
    </row>
    <row r="6" spans="1:22" s="29" customFormat="1">
      <c r="A6" s="22" t="s">
        <v>14</v>
      </c>
      <c r="B6" s="13" t="s">
        <v>15</v>
      </c>
      <c r="C6" s="14" t="s">
        <v>16</v>
      </c>
      <c r="D6" s="15" t="s">
        <v>17</v>
      </c>
      <c r="E6" s="13" t="s">
        <v>15</v>
      </c>
      <c r="F6" s="14" t="s">
        <v>16</v>
      </c>
      <c r="G6" s="15" t="s">
        <v>17</v>
      </c>
      <c r="H6" s="13" t="s">
        <v>15</v>
      </c>
      <c r="I6" s="14" t="s">
        <v>16</v>
      </c>
      <c r="J6" s="15" t="s">
        <v>17</v>
      </c>
      <c r="K6" s="13" t="s">
        <v>18</v>
      </c>
      <c r="L6" s="39" t="s">
        <v>15</v>
      </c>
      <c r="M6" s="14" t="s">
        <v>16</v>
      </c>
      <c r="N6" s="15" t="s">
        <v>17</v>
      </c>
      <c r="O6" s="13" t="s">
        <v>15</v>
      </c>
      <c r="P6" s="14" t="s">
        <v>16</v>
      </c>
      <c r="Q6" s="15" t="s">
        <v>17</v>
      </c>
      <c r="R6" s="13" t="s">
        <v>15</v>
      </c>
      <c r="S6" s="21" t="s">
        <v>15</v>
      </c>
      <c r="T6" s="21" t="s">
        <v>15</v>
      </c>
      <c r="U6" s="26" t="s">
        <v>19</v>
      </c>
      <c r="V6" s="35" t="s">
        <v>19</v>
      </c>
    </row>
    <row r="7" spans="1:22" ht="21" customHeight="1">
      <c r="A7" s="10"/>
      <c r="B7" s="4"/>
      <c r="C7" s="3"/>
      <c r="D7" s="3"/>
      <c r="E7" s="3"/>
      <c r="F7" s="3"/>
      <c r="G7" s="3"/>
      <c r="H7" s="3"/>
      <c r="I7" s="3"/>
      <c r="J7" s="4"/>
      <c r="K7" s="3" t="str">
        <f t="shared" ref="K7:K37" si="0">IF(B7="","",B7+E7+H7)</f>
        <v/>
      </c>
      <c r="L7" s="3"/>
      <c r="M7" s="3"/>
      <c r="N7" s="4"/>
      <c r="O7" s="4"/>
      <c r="P7" s="4"/>
      <c r="Q7" s="4"/>
      <c r="R7" s="4"/>
      <c r="S7" s="2"/>
      <c r="T7" s="2"/>
      <c r="U7" s="2"/>
      <c r="V7" s="5"/>
    </row>
    <row r="8" spans="1:22" ht="21" customHeight="1">
      <c r="A8" s="9"/>
      <c r="B8" s="1"/>
      <c r="C8" s="1"/>
      <c r="D8" s="1"/>
      <c r="E8" s="1"/>
      <c r="F8" s="1"/>
      <c r="G8" s="1"/>
      <c r="H8" s="1"/>
      <c r="I8" s="1"/>
      <c r="J8" s="1"/>
      <c r="K8" s="8" t="str">
        <f t="shared" si="0"/>
        <v/>
      </c>
      <c r="L8" s="1"/>
      <c r="M8" s="1"/>
      <c r="N8" s="1"/>
      <c r="O8" s="1"/>
      <c r="P8" s="1"/>
      <c r="Q8" s="1"/>
      <c r="R8" s="1"/>
      <c r="S8" s="1"/>
      <c r="T8" s="1"/>
      <c r="U8" s="1"/>
      <c r="V8" s="7"/>
    </row>
    <row r="9" spans="1:22" ht="21" customHeight="1">
      <c r="A9" s="12"/>
      <c r="B9" s="2"/>
      <c r="C9" s="2"/>
      <c r="D9" s="2"/>
      <c r="E9" s="2"/>
      <c r="F9" s="2"/>
      <c r="G9" s="2"/>
      <c r="H9" s="2"/>
      <c r="I9" s="2"/>
      <c r="J9" s="2"/>
      <c r="K9" s="3" t="str">
        <f t="shared" si="0"/>
        <v/>
      </c>
      <c r="L9" s="2"/>
      <c r="M9" s="2"/>
      <c r="N9" s="2"/>
      <c r="O9" s="2"/>
      <c r="P9" s="2"/>
      <c r="Q9" s="2"/>
      <c r="R9" s="2"/>
      <c r="S9" s="2"/>
      <c r="T9" s="2"/>
      <c r="U9" s="2"/>
      <c r="V9" s="5"/>
    </row>
    <row r="10" spans="1:22" ht="21" customHeight="1">
      <c r="A10" s="9"/>
      <c r="B10" s="1"/>
      <c r="C10" s="1"/>
      <c r="D10" s="1"/>
      <c r="E10" s="1"/>
      <c r="F10" s="1"/>
      <c r="G10" s="1"/>
      <c r="H10" s="1"/>
      <c r="I10" s="1"/>
      <c r="J10" s="1"/>
      <c r="K10" s="8" t="str">
        <f t="shared" si="0"/>
        <v/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7"/>
    </row>
    <row r="11" spans="1:22" ht="21" customHeight="1">
      <c r="A11" s="10"/>
      <c r="B11" s="4"/>
      <c r="C11" s="3"/>
      <c r="D11" s="3"/>
      <c r="E11" s="3"/>
      <c r="F11" s="3"/>
      <c r="G11" s="3"/>
      <c r="H11" s="3"/>
      <c r="I11" s="3"/>
      <c r="J11" s="4"/>
      <c r="K11" s="3" t="str">
        <f t="shared" si="0"/>
        <v/>
      </c>
      <c r="L11" s="3"/>
      <c r="M11" s="3"/>
      <c r="N11" s="4"/>
      <c r="O11" s="4"/>
      <c r="P11" s="4"/>
      <c r="Q11" s="4"/>
      <c r="R11" s="4"/>
      <c r="S11" s="2"/>
      <c r="T11" s="2"/>
      <c r="U11" s="2"/>
      <c r="V11" s="5"/>
    </row>
    <row r="12" spans="1:22" ht="21" customHeight="1">
      <c r="A12" s="9"/>
      <c r="B12" s="1"/>
      <c r="C12" s="1"/>
      <c r="D12" s="1"/>
      <c r="E12" s="1"/>
      <c r="F12" s="1"/>
      <c r="G12" s="1"/>
      <c r="H12" s="1"/>
      <c r="I12" s="1"/>
      <c r="J12" s="1"/>
      <c r="K12" s="8" t="str">
        <f t="shared" si="0"/>
        <v/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7"/>
    </row>
    <row r="13" spans="1:22" ht="21" customHeight="1">
      <c r="A13" s="12"/>
      <c r="B13" s="2"/>
      <c r="C13" s="2"/>
      <c r="D13" s="2"/>
      <c r="E13" s="2"/>
      <c r="F13" s="2"/>
      <c r="G13" s="2"/>
      <c r="H13" s="2"/>
      <c r="I13" s="2"/>
      <c r="J13" s="2"/>
      <c r="K13" s="3" t="str">
        <f t="shared" si="0"/>
        <v/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5"/>
    </row>
    <row r="14" spans="1:22" ht="21" customHeight="1">
      <c r="A14" s="9"/>
      <c r="B14" s="1"/>
      <c r="C14" s="1"/>
      <c r="D14" s="1"/>
      <c r="E14" s="1"/>
      <c r="F14" s="1"/>
      <c r="G14" s="1"/>
      <c r="H14" s="1"/>
      <c r="I14" s="1"/>
      <c r="J14" s="1"/>
      <c r="K14" s="8" t="str">
        <f t="shared" si="0"/>
        <v/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7"/>
    </row>
    <row r="15" spans="1:22" ht="21" customHeight="1">
      <c r="A15" s="10"/>
      <c r="B15" s="4"/>
      <c r="C15" s="3"/>
      <c r="D15" s="3"/>
      <c r="E15" s="3"/>
      <c r="F15" s="3"/>
      <c r="G15" s="3"/>
      <c r="H15" s="3"/>
      <c r="I15" s="3"/>
      <c r="J15" s="4"/>
      <c r="K15" s="3" t="str">
        <f t="shared" si="0"/>
        <v/>
      </c>
      <c r="L15" s="3"/>
      <c r="M15" s="3"/>
      <c r="N15" s="4"/>
      <c r="O15" s="4"/>
      <c r="P15" s="4"/>
      <c r="Q15" s="4"/>
      <c r="R15" s="4"/>
      <c r="S15" s="2"/>
      <c r="T15" s="2"/>
      <c r="U15" s="2"/>
      <c r="V15" s="5"/>
    </row>
    <row r="16" spans="1:22" ht="21" customHeight="1">
      <c r="A16" s="9"/>
      <c r="B16" s="1"/>
      <c r="C16" s="1"/>
      <c r="D16" s="1"/>
      <c r="E16" s="1"/>
      <c r="F16" s="1"/>
      <c r="G16" s="1"/>
      <c r="H16" s="1"/>
      <c r="I16" s="1"/>
      <c r="J16" s="1"/>
      <c r="K16" s="8" t="str">
        <f t="shared" si="0"/>
        <v/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7"/>
    </row>
    <row r="17" spans="1:22" ht="21" customHeight="1">
      <c r="A17" s="12"/>
      <c r="B17" s="2"/>
      <c r="C17" s="2"/>
      <c r="D17" s="2"/>
      <c r="E17" s="2"/>
      <c r="F17" s="2"/>
      <c r="G17" s="2"/>
      <c r="H17" s="2"/>
      <c r="I17" s="2"/>
      <c r="J17" s="2"/>
      <c r="K17" s="3" t="str">
        <f t="shared" si="0"/>
        <v/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5"/>
    </row>
    <row r="18" spans="1:22" ht="21" customHeight="1">
      <c r="A18" s="9"/>
      <c r="B18" s="1"/>
      <c r="C18" s="1"/>
      <c r="D18" s="1"/>
      <c r="E18" s="1"/>
      <c r="F18" s="1"/>
      <c r="G18" s="1"/>
      <c r="H18" s="1"/>
      <c r="I18" s="1"/>
      <c r="J18" s="1"/>
      <c r="K18" s="8" t="str">
        <f t="shared" si="0"/>
        <v/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7"/>
    </row>
    <row r="19" spans="1:22" ht="21" customHeight="1">
      <c r="A19" s="10"/>
      <c r="B19" s="4"/>
      <c r="C19" s="3"/>
      <c r="D19" s="3"/>
      <c r="E19" s="3"/>
      <c r="F19" s="3"/>
      <c r="G19" s="3"/>
      <c r="H19" s="3"/>
      <c r="I19" s="3"/>
      <c r="J19" s="4"/>
      <c r="K19" s="3" t="str">
        <f t="shared" si="0"/>
        <v/>
      </c>
      <c r="L19" s="3"/>
      <c r="M19" s="3"/>
      <c r="N19" s="4"/>
      <c r="O19" s="4"/>
      <c r="P19" s="4"/>
      <c r="Q19" s="4"/>
      <c r="R19" s="4"/>
      <c r="S19" s="2"/>
      <c r="T19" s="2"/>
      <c r="U19" s="2"/>
      <c r="V19" s="5"/>
    </row>
    <row r="20" spans="1:22" ht="21" customHeight="1">
      <c r="A20" s="9"/>
      <c r="B20" s="1"/>
      <c r="C20" s="1"/>
      <c r="D20" s="1"/>
      <c r="E20" s="1"/>
      <c r="F20" s="1"/>
      <c r="G20" s="1"/>
      <c r="H20" s="1"/>
      <c r="I20" s="1"/>
      <c r="J20" s="1"/>
      <c r="K20" s="8" t="str">
        <f t="shared" si="0"/>
        <v/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7"/>
    </row>
    <row r="21" spans="1:22" ht="21" customHeight="1">
      <c r="A21" s="12"/>
      <c r="B21" s="2"/>
      <c r="C21" s="2"/>
      <c r="D21" s="2"/>
      <c r="E21" s="2"/>
      <c r="F21" s="2"/>
      <c r="G21" s="2"/>
      <c r="H21" s="2"/>
      <c r="I21" s="2"/>
      <c r="J21" s="2"/>
      <c r="K21" s="3" t="str">
        <f t="shared" si="0"/>
        <v/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5"/>
    </row>
    <row r="22" spans="1:22" ht="21" customHeight="1">
      <c r="A22" s="9"/>
      <c r="B22" s="1"/>
      <c r="C22" s="1"/>
      <c r="D22" s="1"/>
      <c r="E22" s="1"/>
      <c r="F22" s="1"/>
      <c r="G22" s="1"/>
      <c r="H22" s="1"/>
      <c r="I22" s="1"/>
      <c r="J22" s="1"/>
      <c r="K22" s="8" t="str">
        <f t="shared" si="0"/>
        <v/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7"/>
    </row>
    <row r="23" spans="1:22" ht="21" customHeight="1">
      <c r="A23" s="10"/>
      <c r="B23" s="4"/>
      <c r="C23" s="3"/>
      <c r="D23" s="3"/>
      <c r="E23" s="3"/>
      <c r="F23" s="3"/>
      <c r="G23" s="3"/>
      <c r="H23" s="3"/>
      <c r="I23" s="3"/>
      <c r="J23" s="4"/>
      <c r="K23" s="3" t="str">
        <f t="shared" si="0"/>
        <v/>
      </c>
      <c r="L23" s="3"/>
      <c r="M23" s="3"/>
      <c r="N23" s="4"/>
      <c r="O23" s="4"/>
      <c r="P23" s="4"/>
      <c r="Q23" s="4"/>
      <c r="R23" s="4"/>
      <c r="S23" s="2"/>
      <c r="T23" s="2"/>
      <c r="U23" s="2"/>
      <c r="V23" s="5"/>
    </row>
    <row r="24" spans="1:22" ht="21" customHeight="1">
      <c r="A24" s="9"/>
      <c r="B24" s="1"/>
      <c r="C24" s="1"/>
      <c r="D24" s="1"/>
      <c r="E24" s="1"/>
      <c r="F24" s="1"/>
      <c r="G24" s="1"/>
      <c r="H24" s="1"/>
      <c r="I24" s="1"/>
      <c r="J24" s="1"/>
      <c r="K24" s="8" t="str">
        <f t="shared" si="0"/>
        <v/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7"/>
    </row>
    <row r="25" spans="1:22" ht="21" customHeight="1">
      <c r="A25" s="12"/>
      <c r="B25" s="2"/>
      <c r="C25" s="2"/>
      <c r="D25" s="2"/>
      <c r="E25" s="2"/>
      <c r="F25" s="2"/>
      <c r="G25" s="2"/>
      <c r="H25" s="2"/>
      <c r="I25" s="2"/>
      <c r="J25" s="2"/>
      <c r="K25" s="3" t="str">
        <f t="shared" si="0"/>
        <v/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5"/>
    </row>
    <row r="26" spans="1:22" ht="21" customHeight="1">
      <c r="A26" s="9"/>
      <c r="B26" s="1"/>
      <c r="C26" s="1"/>
      <c r="D26" s="1"/>
      <c r="E26" s="1"/>
      <c r="F26" s="1"/>
      <c r="G26" s="1"/>
      <c r="H26" s="1"/>
      <c r="I26" s="1"/>
      <c r="J26" s="1"/>
      <c r="K26" s="8" t="str">
        <f t="shared" si="0"/>
        <v/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7"/>
    </row>
    <row r="27" spans="1:22" ht="21" customHeight="1">
      <c r="A27" s="10"/>
      <c r="B27" s="4"/>
      <c r="C27" s="3"/>
      <c r="D27" s="3"/>
      <c r="E27" s="3"/>
      <c r="F27" s="3"/>
      <c r="G27" s="3"/>
      <c r="H27" s="3"/>
      <c r="I27" s="3"/>
      <c r="J27" s="4"/>
      <c r="K27" s="3" t="str">
        <f t="shared" si="0"/>
        <v/>
      </c>
      <c r="L27" s="3"/>
      <c r="M27" s="3"/>
      <c r="N27" s="4"/>
      <c r="O27" s="4"/>
      <c r="P27" s="4"/>
      <c r="Q27" s="4"/>
      <c r="R27" s="4"/>
      <c r="S27" s="2"/>
      <c r="T27" s="2"/>
      <c r="U27" s="2"/>
      <c r="V27" s="5"/>
    </row>
    <row r="28" spans="1:22" ht="21" customHeight="1">
      <c r="A28" s="9"/>
      <c r="B28" s="1"/>
      <c r="C28" s="1"/>
      <c r="D28" s="1"/>
      <c r="E28" s="1"/>
      <c r="F28" s="1"/>
      <c r="G28" s="1"/>
      <c r="H28" s="1"/>
      <c r="I28" s="1"/>
      <c r="J28" s="1"/>
      <c r="K28" s="8" t="str">
        <f t="shared" si="0"/>
        <v/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7"/>
    </row>
    <row r="29" spans="1:22" ht="21" customHeight="1">
      <c r="A29" s="12"/>
      <c r="B29" s="2"/>
      <c r="C29" s="2"/>
      <c r="D29" s="2"/>
      <c r="E29" s="2"/>
      <c r="F29" s="2"/>
      <c r="G29" s="2"/>
      <c r="H29" s="2"/>
      <c r="I29" s="2"/>
      <c r="J29" s="2"/>
      <c r="K29" s="3" t="str">
        <f t="shared" si="0"/>
        <v/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5"/>
    </row>
    <row r="30" spans="1:22" ht="21" customHeight="1">
      <c r="A30" s="9"/>
      <c r="B30" s="1"/>
      <c r="C30" s="1"/>
      <c r="D30" s="1"/>
      <c r="E30" s="1"/>
      <c r="F30" s="1"/>
      <c r="G30" s="1"/>
      <c r="H30" s="1"/>
      <c r="I30" s="1"/>
      <c r="J30" s="1"/>
      <c r="K30" s="8" t="str">
        <f t="shared" si="0"/>
        <v/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7"/>
    </row>
    <row r="31" spans="1:22" ht="21" customHeight="1">
      <c r="A31" s="10"/>
      <c r="B31" s="4"/>
      <c r="C31" s="3"/>
      <c r="D31" s="3"/>
      <c r="E31" s="3"/>
      <c r="F31" s="3"/>
      <c r="G31" s="3"/>
      <c r="H31" s="3"/>
      <c r="I31" s="3"/>
      <c r="J31" s="4"/>
      <c r="K31" s="3" t="str">
        <f t="shared" si="0"/>
        <v/>
      </c>
      <c r="L31" s="3"/>
      <c r="M31" s="3"/>
      <c r="N31" s="4"/>
      <c r="O31" s="4"/>
      <c r="P31" s="4"/>
      <c r="Q31" s="4"/>
      <c r="R31" s="4"/>
      <c r="S31" s="2"/>
      <c r="T31" s="2"/>
      <c r="U31" s="2"/>
      <c r="V31" s="5"/>
    </row>
    <row r="32" spans="1:22" ht="21" customHeight="1">
      <c r="A32" s="9"/>
      <c r="B32" s="1"/>
      <c r="C32" s="1"/>
      <c r="D32" s="1"/>
      <c r="E32" s="1"/>
      <c r="F32" s="1"/>
      <c r="G32" s="1"/>
      <c r="H32" s="1"/>
      <c r="I32" s="1"/>
      <c r="J32" s="1"/>
      <c r="K32" s="8" t="str">
        <f t="shared" si="0"/>
        <v/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7"/>
    </row>
    <row r="33" spans="1:22" ht="21" customHeight="1">
      <c r="A33" s="12"/>
      <c r="B33" s="2"/>
      <c r="C33" s="2"/>
      <c r="D33" s="2"/>
      <c r="E33" s="2"/>
      <c r="F33" s="2"/>
      <c r="G33" s="2"/>
      <c r="H33" s="2"/>
      <c r="I33" s="2"/>
      <c r="J33" s="2"/>
      <c r="K33" s="3" t="str">
        <f t="shared" si="0"/>
        <v/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5"/>
    </row>
    <row r="34" spans="1:22" ht="21" customHeight="1">
      <c r="A34" s="9"/>
      <c r="B34" s="1"/>
      <c r="C34" s="1"/>
      <c r="D34" s="1"/>
      <c r="E34" s="1"/>
      <c r="F34" s="1"/>
      <c r="G34" s="1"/>
      <c r="H34" s="1"/>
      <c r="I34" s="1"/>
      <c r="J34" s="1"/>
      <c r="K34" s="8" t="str">
        <f t="shared" si="0"/>
        <v/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7"/>
    </row>
    <row r="35" spans="1:22" ht="21" customHeight="1">
      <c r="A35" s="10"/>
      <c r="B35" s="4"/>
      <c r="C35" s="3"/>
      <c r="D35" s="3"/>
      <c r="E35" s="3"/>
      <c r="F35" s="3"/>
      <c r="G35" s="3"/>
      <c r="H35" s="3"/>
      <c r="I35" s="3"/>
      <c r="J35" s="4"/>
      <c r="K35" s="3" t="str">
        <f t="shared" si="0"/>
        <v/>
      </c>
      <c r="L35" s="3"/>
      <c r="M35" s="3"/>
      <c r="N35" s="4"/>
      <c r="O35" s="4"/>
      <c r="P35" s="4"/>
      <c r="Q35" s="4"/>
      <c r="R35" s="4"/>
      <c r="S35" s="2"/>
      <c r="T35" s="2"/>
      <c r="U35" s="2"/>
      <c r="V35" s="5"/>
    </row>
    <row r="36" spans="1:22" ht="21" customHeight="1">
      <c r="A36" s="9"/>
      <c r="B36" s="1"/>
      <c r="C36" s="1"/>
      <c r="D36" s="1"/>
      <c r="E36" s="1"/>
      <c r="F36" s="1"/>
      <c r="G36" s="1"/>
      <c r="H36" s="1"/>
      <c r="I36" s="1"/>
      <c r="J36" s="1"/>
      <c r="K36" s="8" t="str">
        <f t="shared" si="0"/>
        <v/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7"/>
    </row>
    <row r="37" spans="1:22" ht="21" customHeight="1">
      <c r="A37" s="12"/>
      <c r="B37" s="2"/>
      <c r="C37" s="2"/>
      <c r="D37" s="2"/>
      <c r="E37" s="2"/>
      <c r="F37" s="2"/>
      <c r="G37" s="2"/>
      <c r="H37" s="2"/>
      <c r="I37" s="2"/>
      <c r="J37" s="2"/>
      <c r="K37" s="3" t="str">
        <f t="shared" si="0"/>
        <v/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5"/>
    </row>
  </sheetData>
  <mergeCells count="7">
    <mergeCell ref="A2:T3"/>
    <mergeCell ref="U2:V3"/>
    <mergeCell ref="B5:D5"/>
    <mergeCell ref="E5:G5"/>
    <mergeCell ref="H5:J5"/>
    <mergeCell ref="L5:N5"/>
    <mergeCell ref="O5:Q5"/>
  </mergeCells>
  <printOptions horizontalCentered="1"/>
  <pageMargins left="0.25" right="0.25" top="0.75" bottom="0.75" header="0.3" footer="0.3"/>
  <pageSetup scale="72" orientation="landscape" horizontalDpi="300" verticalDpi="300"/>
  <headerFooter>
    <oddHeader>&amp;LHull WWTF&amp;RPrinted on- 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7"/>
  <sheetViews>
    <sheetView workbookViewId="0"/>
  </sheetViews>
  <sheetFormatPr defaultRowHeight="12"/>
  <cols>
    <col min="1" max="1" width="10.5703125" style="36" customWidth="1"/>
    <col min="2" max="10" width="7" style="24" customWidth="1"/>
    <col min="11" max="11" width="10.85546875" style="24" bestFit="1" customWidth="1"/>
    <col min="12" max="17" width="7" style="24" customWidth="1"/>
    <col min="18" max="18" width="8.5703125" style="19" customWidth="1"/>
    <col min="19" max="19" width="8.42578125" style="19" customWidth="1"/>
    <col min="20" max="20" width="10.42578125" style="19" customWidth="1"/>
    <col min="21" max="21" width="8" style="19" customWidth="1"/>
    <col min="22" max="22" width="7.5703125" style="19" customWidth="1"/>
    <col min="23" max="16384" width="9.140625" style="19"/>
  </cols>
  <sheetData>
    <row r="1" spans="1:22" s="27" customFormat="1" ht="2.25" customHeight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2" ht="18.75" customHeight="1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  <c r="U2" s="48" t="s">
        <v>1</v>
      </c>
      <c r="V2" s="49"/>
    </row>
    <row r="3" spans="1:22" ht="11.25" customHeight="1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  <c r="U3" s="50"/>
      <c r="V3" s="51"/>
    </row>
    <row r="4" spans="1:22" ht="11.25" customHeight="1">
      <c r="A4" s="41"/>
      <c r="B4" s="28"/>
      <c r="C4" s="34"/>
      <c r="D4" s="17"/>
      <c r="E4" s="17"/>
      <c r="F4" s="17"/>
      <c r="G4" s="17"/>
      <c r="H4" s="11"/>
      <c r="I4" s="11"/>
      <c r="J4" s="11"/>
      <c r="K4" s="11"/>
      <c r="L4" s="11"/>
      <c r="M4" s="11"/>
      <c r="N4" s="11"/>
      <c r="O4" s="11"/>
      <c r="P4" s="20"/>
      <c r="Q4" s="20"/>
      <c r="R4" s="37"/>
      <c r="S4" s="23" t="s">
        <v>2</v>
      </c>
      <c r="T4" s="38" t="s">
        <v>2</v>
      </c>
      <c r="U4" s="30"/>
      <c r="V4" s="33"/>
    </row>
    <row r="5" spans="1:22" ht="13.5" customHeight="1">
      <c r="A5" s="25"/>
      <c r="B5" s="52" t="s">
        <v>3</v>
      </c>
      <c r="C5" s="53"/>
      <c r="D5" s="54"/>
      <c r="E5" s="52" t="s">
        <v>4</v>
      </c>
      <c r="F5" s="53"/>
      <c r="G5" s="54"/>
      <c r="H5" s="55" t="s">
        <v>5</v>
      </c>
      <c r="I5" s="55"/>
      <c r="J5" s="55"/>
      <c r="K5" s="16" t="s">
        <v>6</v>
      </c>
      <c r="L5" s="52" t="s">
        <v>7</v>
      </c>
      <c r="M5" s="53"/>
      <c r="N5" s="54"/>
      <c r="O5" s="52" t="s">
        <v>8</v>
      </c>
      <c r="P5" s="53"/>
      <c r="Q5" s="54"/>
      <c r="R5" s="40" t="s">
        <v>9</v>
      </c>
      <c r="S5" s="31" t="s">
        <v>10</v>
      </c>
      <c r="T5" s="18" t="s">
        <v>11</v>
      </c>
      <c r="U5" s="32" t="s">
        <v>12</v>
      </c>
      <c r="V5" s="18" t="s">
        <v>13</v>
      </c>
    </row>
    <row r="6" spans="1:22" s="29" customFormat="1">
      <c r="A6" s="22" t="s">
        <v>14</v>
      </c>
      <c r="B6" s="13" t="s">
        <v>15</v>
      </c>
      <c r="C6" s="14" t="s">
        <v>16</v>
      </c>
      <c r="D6" s="15" t="s">
        <v>17</v>
      </c>
      <c r="E6" s="13" t="s">
        <v>15</v>
      </c>
      <c r="F6" s="14" t="s">
        <v>16</v>
      </c>
      <c r="G6" s="15" t="s">
        <v>17</v>
      </c>
      <c r="H6" s="13" t="s">
        <v>15</v>
      </c>
      <c r="I6" s="14" t="s">
        <v>16</v>
      </c>
      <c r="J6" s="15" t="s">
        <v>17</v>
      </c>
      <c r="K6" s="13" t="s">
        <v>18</v>
      </c>
      <c r="L6" s="39" t="s">
        <v>15</v>
      </c>
      <c r="M6" s="14" t="s">
        <v>16</v>
      </c>
      <c r="N6" s="15" t="s">
        <v>17</v>
      </c>
      <c r="O6" s="13" t="s">
        <v>15</v>
      </c>
      <c r="P6" s="14" t="s">
        <v>16</v>
      </c>
      <c r="Q6" s="15" t="s">
        <v>17</v>
      </c>
      <c r="R6" s="13" t="s">
        <v>15</v>
      </c>
      <c r="S6" s="21" t="s">
        <v>15</v>
      </c>
      <c r="T6" s="21" t="s">
        <v>15</v>
      </c>
      <c r="U6" s="26" t="s">
        <v>19</v>
      </c>
      <c r="V6" s="35" t="s">
        <v>19</v>
      </c>
    </row>
    <row r="7" spans="1:22" ht="21" customHeight="1">
      <c r="A7" s="10">
        <v>46023</v>
      </c>
      <c r="B7" s="4">
        <v>1.7899986505508401</v>
      </c>
      <c r="C7" s="3">
        <v>2.4708995819091801</v>
      </c>
      <c r="D7" s="3">
        <v>1.2145633697509799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0</v>
      </c>
      <c r="K7" s="3">
        <f t="shared" ref="K7:K37" si="0">IF(B7="","",B7+E7+H7)</f>
        <v>1.7899986505508401</v>
      </c>
      <c r="L7" s="3">
        <v>1.36416435241699</v>
      </c>
      <c r="M7" s="3">
        <v>1.9300003051757799</v>
      </c>
      <c r="N7" s="4">
        <v>0.80400037765502896</v>
      </c>
      <c r="O7" s="4">
        <v>1.2799991369247401</v>
      </c>
      <c r="P7" s="4">
        <v>2.2728137969970699</v>
      </c>
      <c r="Q7" s="4">
        <v>0.29746007919311501</v>
      </c>
      <c r="R7" s="4">
        <v>0.85999947786331199</v>
      </c>
      <c r="S7" s="2">
        <v>25.630491256713899</v>
      </c>
      <c r="T7" s="2">
        <v>86.310821533203097</v>
      </c>
      <c r="U7" s="2">
        <v>9.1068949487326893</v>
      </c>
      <c r="V7" s="5">
        <v>732.64580106967196</v>
      </c>
    </row>
    <row r="8" spans="1:22" ht="21" customHeight="1">
      <c r="A8" s="9">
        <v>46024</v>
      </c>
      <c r="B8" s="1">
        <v>1.67999875545502</v>
      </c>
      <c r="C8" s="1">
        <v>2.2807416915893599</v>
      </c>
      <c r="D8" s="1">
        <v>0.75492668151855502</v>
      </c>
      <c r="E8" s="1">
        <v>0</v>
      </c>
      <c r="F8" s="1">
        <v>3.4809112548828098E-5</v>
      </c>
      <c r="G8" s="1">
        <v>0</v>
      </c>
      <c r="H8" s="1">
        <v>0</v>
      </c>
      <c r="I8" s="1">
        <v>0</v>
      </c>
      <c r="J8" s="1">
        <v>0</v>
      </c>
      <c r="K8" s="8">
        <f t="shared" si="0"/>
        <v>1.67999875545502</v>
      </c>
      <c r="L8" s="1">
        <v>1.2924953699111901</v>
      </c>
      <c r="M8" s="1">
        <v>1.80300045013428</v>
      </c>
      <c r="N8" s="1">
        <v>0.424000263214111</v>
      </c>
      <c r="O8" s="1">
        <v>1.17999923229218</v>
      </c>
      <c r="P8" s="1">
        <v>2.1175155639648402</v>
      </c>
      <c r="Q8" s="1">
        <v>0.25531458854675299</v>
      </c>
      <c r="R8" s="1">
        <v>0.86999946832656905</v>
      </c>
      <c r="S8" s="1">
        <v>25.6604919433594</v>
      </c>
      <c r="T8" s="1">
        <v>89.346870422363295</v>
      </c>
      <c r="U8" s="1">
        <v>9.1345713885812998</v>
      </c>
      <c r="V8" s="7">
        <v>739.92360188349699</v>
      </c>
    </row>
    <row r="9" spans="1:22" ht="21" customHeight="1">
      <c r="A9" s="12">
        <v>46025</v>
      </c>
      <c r="B9" s="2">
        <v>1.6499987840652499</v>
      </c>
      <c r="C9" s="2">
        <v>2.4011077880859402</v>
      </c>
      <c r="D9" s="2">
        <v>1.10869836807251</v>
      </c>
      <c r="E9" s="2">
        <v>0</v>
      </c>
      <c r="F9" s="2">
        <v>1.16825103759766E-5</v>
      </c>
      <c r="G9" s="2">
        <v>-9.7990036010742201E-5</v>
      </c>
      <c r="H9" s="2">
        <v>0</v>
      </c>
      <c r="I9" s="2">
        <v>0</v>
      </c>
      <c r="J9" s="2">
        <v>0</v>
      </c>
      <c r="K9" s="3">
        <f t="shared" si="0"/>
        <v>1.6499987840652499</v>
      </c>
      <c r="L9" s="2">
        <v>1.2440725564956701</v>
      </c>
      <c r="M9" s="2">
        <v>1.8950004577636701</v>
      </c>
      <c r="N9" s="2">
        <v>0.69900035858154297</v>
      </c>
      <c r="O9" s="2">
        <v>1.1499992609023999</v>
      </c>
      <c r="P9" s="2">
        <v>2.2562022209167498</v>
      </c>
      <c r="Q9" s="2">
        <v>0.25908112525939903</v>
      </c>
      <c r="R9" s="2">
        <v>0.84999948740005504</v>
      </c>
      <c r="S9" s="2">
        <v>26.180503845214801</v>
      </c>
      <c r="T9" s="2">
        <v>93.305099487304702</v>
      </c>
      <c r="U9" s="2">
        <v>9.2200710536540598</v>
      </c>
      <c r="V9" s="5">
        <v>704.98311663237303</v>
      </c>
    </row>
    <row r="10" spans="1:22" ht="21" customHeight="1">
      <c r="A10" s="9">
        <v>46026</v>
      </c>
      <c r="B10" s="1">
        <v>1.7499986886978101</v>
      </c>
      <c r="C10" s="1">
        <v>2.68374443054199</v>
      </c>
      <c r="D10" s="1">
        <v>1.1178455352783201</v>
      </c>
      <c r="E10" s="1">
        <v>0</v>
      </c>
      <c r="F10" s="1">
        <v>0</v>
      </c>
      <c r="G10" s="1">
        <v>-2.2673606872558599E-4</v>
      </c>
      <c r="H10" s="1">
        <v>0</v>
      </c>
      <c r="I10" s="1">
        <v>0</v>
      </c>
      <c r="J10" s="1">
        <v>0</v>
      </c>
      <c r="K10" s="8">
        <f t="shared" si="0"/>
        <v>1.7499986886978101</v>
      </c>
      <c r="L10" s="1">
        <v>1.3076822757720901</v>
      </c>
      <c r="M10" s="1">
        <v>2.1260004043579102</v>
      </c>
      <c r="N10" s="1">
        <v>0.569000244140625</v>
      </c>
      <c r="O10" s="1">
        <v>1.24999916553497</v>
      </c>
      <c r="P10" s="1">
        <v>5.0983505249023402</v>
      </c>
      <c r="Q10" s="1">
        <v>0.26249647140502902</v>
      </c>
      <c r="R10" s="1">
        <v>0.88999944925308205</v>
      </c>
      <c r="S10" s="1">
        <v>27.220527648925799</v>
      </c>
      <c r="T10" s="1">
        <v>112.566482543945</v>
      </c>
      <c r="U10" s="1">
        <v>9.1832503752214691</v>
      </c>
      <c r="V10" s="7">
        <v>695.56135929152697</v>
      </c>
    </row>
    <row r="11" spans="1:22" ht="21" customHeight="1">
      <c r="A11" s="10">
        <v>46027</v>
      </c>
      <c r="B11" s="4">
        <v>1.67999875545502</v>
      </c>
      <c r="C11" s="3">
        <v>2.2417068481445299</v>
      </c>
      <c r="D11" s="3">
        <v>1</v>
      </c>
      <c r="E11" s="3">
        <v>0</v>
      </c>
      <c r="F11" s="3">
        <v>2.2411346435546899E-5</v>
      </c>
      <c r="G11" s="3">
        <v>-1.5163421630859399E-4</v>
      </c>
      <c r="H11" s="3">
        <v>0</v>
      </c>
      <c r="I11" s="3">
        <v>0</v>
      </c>
      <c r="J11" s="4">
        <v>0</v>
      </c>
      <c r="K11" s="3">
        <f t="shared" si="0"/>
        <v>1.67999875545502</v>
      </c>
      <c r="L11" s="3">
        <v>1.2816900014877299</v>
      </c>
      <c r="M11" s="3">
        <v>1.7440004348754901</v>
      </c>
      <c r="N11" s="4">
        <v>0.78200006484985396</v>
      </c>
      <c r="O11" s="4">
        <v>1.16999924182892</v>
      </c>
      <c r="P11" s="4">
        <v>2.0940842628478999</v>
      </c>
      <c r="Q11" s="4">
        <v>0</v>
      </c>
      <c r="R11" s="4">
        <v>0.90999943017959595</v>
      </c>
      <c r="S11" s="2">
        <v>27.390531539916999</v>
      </c>
      <c r="T11" s="2">
        <v>108.69114685058599</v>
      </c>
      <c r="U11" s="2">
        <v>9.1758387487301398</v>
      </c>
      <c r="V11" s="5">
        <v>740.12356521885204</v>
      </c>
    </row>
    <row r="12" spans="1:22" ht="21" customHeight="1">
      <c r="A12" s="9">
        <v>46028</v>
      </c>
      <c r="B12" s="1">
        <v>1.62999880313873</v>
      </c>
      <c r="C12" s="1">
        <v>2.83702564239502</v>
      </c>
      <c r="D12" s="1">
        <v>0</v>
      </c>
      <c r="E12" s="1">
        <v>9.9999997764825804E-3</v>
      </c>
      <c r="F12" s="1">
        <v>4.4465065002441401E-4</v>
      </c>
      <c r="G12" s="1">
        <v>-1.6593933105468799E-4</v>
      </c>
      <c r="H12" s="1">
        <v>1.9999999552965199E-2</v>
      </c>
      <c r="I12" s="1">
        <v>0.96415185928344704</v>
      </c>
      <c r="J12" s="1">
        <v>0</v>
      </c>
      <c r="K12" s="8">
        <f t="shared" si="0"/>
        <v>1.6599988024681778</v>
      </c>
      <c r="L12" s="1">
        <v>1.24593877792358</v>
      </c>
      <c r="M12" s="1">
        <v>1.74100017547607</v>
      </c>
      <c r="N12" s="1">
        <v>0</v>
      </c>
      <c r="O12" s="1">
        <v>1.1599992513656601</v>
      </c>
      <c r="P12" s="1">
        <v>2.0472207069396999</v>
      </c>
      <c r="Q12" s="1">
        <v>0</v>
      </c>
      <c r="R12" s="1">
        <v>0.93999940156936601</v>
      </c>
      <c r="S12" s="1">
        <v>27.210527420043899</v>
      </c>
      <c r="T12" s="1">
        <v>112.13485717773401</v>
      </c>
      <c r="U12" s="1">
        <v>9.2859522279887798</v>
      </c>
      <c r="V12" s="7">
        <v>755.80553560873295</v>
      </c>
    </row>
    <row r="13" spans="1:22" ht="21" customHeight="1">
      <c r="A13" s="12">
        <v>46029</v>
      </c>
      <c r="B13" s="2">
        <v>1.7699986696243299</v>
      </c>
      <c r="C13" s="2">
        <v>2.3393507003784202</v>
      </c>
      <c r="D13" s="2">
        <v>1.0133910179138199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3">
        <f t="shared" si="0"/>
        <v>1.7699986696243299</v>
      </c>
      <c r="L13" s="2">
        <v>1.3421984910964999</v>
      </c>
      <c r="M13" s="2">
        <v>1.8370003700256301</v>
      </c>
      <c r="N13" s="2">
        <v>0.61100006103515603</v>
      </c>
      <c r="O13" s="2">
        <v>1.2799991369247401</v>
      </c>
      <c r="P13" s="2">
        <v>2.20714330673218</v>
      </c>
      <c r="Q13" s="2">
        <v>0.26306033134460399</v>
      </c>
      <c r="R13" s="2">
        <v>0.93999940156936601</v>
      </c>
      <c r="S13" s="2">
        <v>28.2005500793457</v>
      </c>
      <c r="T13" s="2">
        <v>112.20452880859401</v>
      </c>
      <c r="U13" s="2">
        <v>9.3036699202261204</v>
      </c>
      <c r="V13" s="5">
        <v>762.33137627787801</v>
      </c>
    </row>
    <row r="14" spans="1:22" ht="21" customHeight="1">
      <c r="A14" s="9">
        <v>46030</v>
      </c>
      <c r="B14" s="1">
        <v>1.62999880313873</v>
      </c>
      <c r="C14" s="1">
        <v>1.9289684295654299</v>
      </c>
      <c r="D14" s="1">
        <v>0</v>
      </c>
      <c r="E14" s="1">
        <v>0</v>
      </c>
      <c r="F14" s="1">
        <v>0</v>
      </c>
      <c r="G14" s="1">
        <v>-2.3221969604492201E-4</v>
      </c>
      <c r="H14" s="1">
        <v>0</v>
      </c>
      <c r="I14" s="1">
        <v>0</v>
      </c>
      <c r="J14" s="1">
        <v>0</v>
      </c>
      <c r="K14" s="8">
        <f t="shared" si="0"/>
        <v>1.62999880313873</v>
      </c>
      <c r="L14" s="1">
        <v>1.2620502710342401</v>
      </c>
      <c r="M14" s="1">
        <v>1.49900007247925</v>
      </c>
      <c r="N14" s="1">
        <v>0.57000017166137695</v>
      </c>
      <c r="O14" s="1">
        <v>1.1499992609023999</v>
      </c>
      <c r="P14" s="1">
        <v>1.7646565437316899</v>
      </c>
      <c r="Q14" s="1">
        <v>0</v>
      </c>
      <c r="R14" s="1">
        <v>0.94999939203262296</v>
      </c>
      <c r="S14" s="1">
        <v>27.780540466308601</v>
      </c>
      <c r="T14" s="1">
        <v>112.45509338378901</v>
      </c>
      <c r="U14" s="1">
        <v>9.3261435358287397</v>
      </c>
      <c r="V14" s="7">
        <v>714.84924138263295</v>
      </c>
    </row>
    <row r="15" spans="1:22" ht="21" customHeight="1">
      <c r="A15" s="10">
        <v>46031</v>
      </c>
      <c r="B15" s="4">
        <v>1.5199989080429099</v>
      </c>
      <c r="C15" s="3">
        <v>2.01846504211426</v>
      </c>
      <c r="D15" s="3">
        <v>0.65151453018188499</v>
      </c>
      <c r="E15" s="3">
        <v>0</v>
      </c>
      <c r="F15" s="3">
        <v>0</v>
      </c>
      <c r="G15" s="3">
        <v>-1.60455703735352E-4</v>
      </c>
      <c r="H15" s="3">
        <v>0</v>
      </c>
      <c r="I15" s="3">
        <v>0</v>
      </c>
      <c r="J15" s="4">
        <v>0</v>
      </c>
      <c r="K15" s="3">
        <f t="shared" si="0"/>
        <v>1.5199989080429099</v>
      </c>
      <c r="L15" s="3">
        <v>1.1467655897140501</v>
      </c>
      <c r="M15" s="3">
        <v>2.1950001716613801</v>
      </c>
      <c r="N15" s="4">
        <v>0.34500026702880898</v>
      </c>
      <c r="O15" s="4">
        <v>1.0299993753433201</v>
      </c>
      <c r="P15" s="4">
        <v>1.7675533294677701</v>
      </c>
      <c r="Q15" s="4">
        <v>0.24763107299804701</v>
      </c>
      <c r="R15" s="4">
        <v>0.93999940156936601</v>
      </c>
      <c r="S15" s="2">
        <v>29.130571365356399</v>
      </c>
      <c r="T15" s="2">
        <v>93.122230529785199</v>
      </c>
      <c r="U15" s="2">
        <v>9.2867362414738501</v>
      </c>
      <c r="V15" s="5">
        <v>715.19612593448699</v>
      </c>
    </row>
    <row r="16" spans="1:22" ht="21" customHeight="1">
      <c r="A16" s="9">
        <v>46032</v>
      </c>
      <c r="B16" s="1">
        <v>1.5199989080429099</v>
      </c>
      <c r="C16" s="1">
        <v>1.93299388885498</v>
      </c>
      <c r="D16" s="1">
        <v>1.1227431297302199</v>
      </c>
      <c r="E16" s="1">
        <v>0</v>
      </c>
      <c r="F16" s="1">
        <v>0</v>
      </c>
      <c r="G16" s="1">
        <v>-2.9468536376953098E-4</v>
      </c>
      <c r="H16" s="1">
        <v>0</v>
      </c>
      <c r="I16" s="1">
        <v>0</v>
      </c>
      <c r="J16" s="1">
        <v>0</v>
      </c>
      <c r="K16" s="8">
        <f t="shared" si="0"/>
        <v>1.5199989080429099</v>
      </c>
      <c r="L16" s="1">
        <v>1.1327866315841699</v>
      </c>
      <c r="M16" s="1">
        <v>1.4970002174377399</v>
      </c>
      <c r="N16" s="1">
        <v>0.72400045394897505</v>
      </c>
      <c r="O16" s="1">
        <v>1.0299993753433201</v>
      </c>
      <c r="P16" s="1">
        <v>1.7605729103088399</v>
      </c>
      <c r="Q16" s="1">
        <v>0.26364779472351102</v>
      </c>
      <c r="R16" s="1">
        <v>0.94999939203262296</v>
      </c>
      <c r="S16" s="1">
        <v>29.0305690765381</v>
      </c>
      <c r="T16" s="1">
        <v>90.318275451660199</v>
      </c>
      <c r="U16" s="1">
        <v>9.3211437457961495</v>
      </c>
      <c r="V16" s="7">
        <v>717.04475840766702</v>
      </c>
    </row>
    <row r="17" spans="1:22" ht="21" customHeight="1">
      <c r="A17" s="12">
        <v>46033</v>
      </c>
      <c r="B17" s="2">
        <v>1.83999860286713</v>
      </c>
      <c r="C17" s="2">
        <v>2.5605020523071298</v>
      </c>
      <c r="D17" s="2">
        <v>1.2716541290283201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3">
        <f t="shared" si="0"/>
        <v>1.83999860286713</v>
      </c>
      <c r="L17" s="2">
        <v>1.38498651981354</v>
      </c>
      <c r="M17" s="2">
        <v>1.9970002174377399</v>
      </c>
      <c r="N17" s="2">
        <v>1.0520000457763701</v>
      </c>
      <c r="O17" s="2">
        <v>1.33999907970428</v>
      </c>
      <c r="P17" s="2">
        <v>2.15404176712036</v>
      </c>
      <c r="Q17" s="2">
        <v>0.531269311904907</v>
      </c>
      <c r="R17" s="2">
        <v>0.94999939203262296</v>
      </c>
      <c r="S17" s="2">
        <v>28.960567474365199</v>
      </c>
      <c r="T17" s="2">
        <v>106.5986328125</v>
      </c>
      <c r="U17" s="2">
        <v>9.2773996062209196</v>
      </c>
      <c r="V17" s="5">
        <v>689.14000514748204</v>
      </c>
    </row>
    <row r="18" spans="1:22" ht="21" customHeight="1">
      <c r="A18" s="9">
        <v>46034</v>
      </c>
      <c r="B18" s="1">
        <v>1.6099988222122199</v>
      </c>
      <c r="C18" s="1">
        <v>1.9410266876220701</v>
      </c>
      <c r="D18" s="1">
        <v>0.86672925949096702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8">
        <f t="shared" si="0"/>
        <v>1.6099988222122199</v>
      </c>
      <c r="L18" s="1">
        <v>1.2764934301376301</v>
      </c>
      <c r="M18" s="1">
        <v>1.5240001678466799</v>
      </c>
      <c r="N18" s="1">
        <v>0.48500013351440402</v>
      </c>
      <c r="O18" s="1">
        <v>1.1399992704391499</v>
      </c>
      <c r="P18" s="1">
        <v>1.81930923461914</v>
      </c>
      <c r="Q18" s="1">
        <v>0.25676846504211398</v>
      </c>
      <c r="R18" s="1">
        <v>0.94999939203262296</v>
      </c>
      <c r="S18" s="1">
        <v>28.900566101074201</v>
      </c>
      <c r="T18" s="1">
        <v>93.247489929199205</v>
      </c>
      <c r="U18" s="1">
        <v>9.3500134701360995</v>
      </c>
      <c r="V18" s="7">
        <v>742.38086921527497</v>
      </c>
    </row>
    <row r="19" spans="1:22" ht="21" customHeight="1">
      <c r="A19" s="10">
        <v>46035</v>
      </c>
      <c r="B19" s="4">
        <v>1.5299988985061601</v>
      </c>
      <c r="C19" s="3">
        <v>1.8808536529541</v>
      </c>
      <c r="D19" s="3">
        <v>0.93347263336181596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0</v>
      </c>
      <c r="K19" s="3">
        <f t="shared" si="0"/>
        <v>1.5299988985061601</v>
      </c>
      <c r="L19" s="3">
        <v>1.1605931520462001</v>
      </c>
      <c r="M19" s="3">
        <v>1.4610004425048799</v>
      </c>
      <c r="N19" s="4">
        <v>0.56300020217895497</v>
      </c>
      <c r="O19" s="4">
        <v>1.0299993753433201</v>
      </c>
      <c r="P19" s="4">
        <v>1.70615577697754</v>
      </c>
      <c r="Q19" s="4">
        <v>0.26165199279785201</v>
      </c>
      <c r="R19" s="4">
        <v>0.92999941110610995</v>
      </c>
      <c r="S19" s="2">
        <v>28.9905681610107</v>
      </c>
      <c r="T19" s="2">
        <v>90.649307250976605</v>
      </c>
      <c r="U19" s="2">
        <v>9.2622929421292994</v>
      </c>
      <c r="V19" s="5">
        <v>680.09616307304304</v>
      </c>
    </row>
    <row r="20" spans="1:22" ht="21" customHeight="1">
      <c r="A20" s="9">
        <v>46036</v>
      </c>
      <c r="B20" s="1">
        <v>1.5199989080429099</v>
      </c>
      <c r="C20" s="1">
        <v>1.99733734130859</v>
      </c>
      <c r="D20" s="1">
        <v>0.695359706878662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8">
        <f t="shared" si="0"/>
        <v>1.5199989080429099</v>
      </c>
      <c r="L20" s="1">
        <v>1.13667488098145</v>
      </c>
      <c r="M20" s="1">
        <v>1.5410003662109399</v>
      </c>
      <c r="N20" s="1">
        <v>0.36100006103515597</v>
      </c>
      <c r="O20" s="1">
        <v>1.0299993753433201</v>
      </c>
      <c r="P20" s="1">
        <v>1.7431397438049301</v>
      </c>
      <c r="Q20" s="1">
        <v>0.25018811225891102</v>
      </c>
      <c r="R20" s="1">
        <v>0.93999940156936601</v>
      </c>
      <c r="S20" s="1">
        <v>29.850587844848601</v>
      </c>
      <c r="T20" s="1">
        <v>89.032386779785199</v>
      </c>
      <c r="U20" s="1">
        <v>9.2867596561996493</v>
      </c>
      <c r="V20" s="7">
        <v>760.96627941224403</v>
      </c>
    </row>
    <row r="21" spans="1:22" ht="21" customHeight="1">
      <c r="A21" s="12">
        <v>46037</v>
      </c>
      <c r="B21" s="2">
        <v>1.5599988698959399</v>
      </c>
      <c r="C21" s="2">
        <v>2.5692281723022501</v>
      </c>
      <c r="D21" s="2">
        <v>0</v>
      </c>
      <c r="E21" s="2">
        <v>0</v>
      </c>
      <c r="F21" s="2">
        <v>0</v>
      </c>
      <c r="G21" s="2">
        <v>-2.4461746215820302E-4</v>
      </c>
      <c r="H21" s="2">
        <v>0</v>
      </c>
      <c r="I21" s="2">
        <v>0.24987125396728499</v>
      </c>
      <c r="J21" s="2">
        <v>0</v>
      </c>
      <c r="K21" s="3">
        <f t="shared" si="0"/>
        <v>1.5599988698959399</v>
      </c>
      <c r="L21" s="2">
        <v>1.1867327690124501</v>
      </c>
      <c r="M21" s="2">
        <v>2.0190000534057599</v>
      </c>
      <c r="N21" s="2">
        <v>0.69200038909912098</v>
      </c>
      <c r="O21" s="2">
        <v>1.0699993371963501</v>
      </c>
      <c r="P21" s="2">
        <v>2.11235475540161</v>
      </c>
      <c r="Q21" s="2">
        <v>0</v>
      </c>
      <c r="R21" s="2">
        <v>0.93999940156936601</v>
      </c>
      <c r="S21" s="2">
        <v>30.050592422485401</v>
      </c>
      <c r="T21" s="2">
        <v>82.739952087402301</v>
      </c>
      <c r="U21" s="2">
        <v>9.3196077992967492</v>
      </c>
      <c r="V21" s="5">
        <v>661.76499505271704</v>
      </c>
    </row>
    <row r="22" spans="1:22" ht="21" customHeight="1">
      <c r="A22" s="9">
        <v>46038</v>
      </c>
      <c r="B22" s="1">
        <v>1.5299988985061601</v>
      </c>
      <c r="C22" s="1">
        <v>2.1027555465698202</v>
      </c>
      <c r="D22" s="1">
        <v>1.06893587112427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8">
        <f t="shared" si="0"/>
        <v>1.5299988985061601</v>
      </c>
      <c r="L22" s="1">
        <v>1.17757833003998</v>
      </c>
      <c r="M22" s="1">
        <v>1.6350002288818399</v>
      </c>
      <c r="N22" s="1">
        <v>0.68600034713745095</v>
      </c>
      <c r="O22" s="1">
        <v>1.04999935626984</v>
      </c>
      <c r="P22" s="1">
        <v>1.92222499847412</v>
      </c>
      <c r="Q22" s="1">
        <v>0.25931811332702598</v>
      </c>
      <c r="R22" s="1">
        <v>0.92999941110610995</v>
      </c>
      <c r="S22" s="1">
        <v>29.740585327148398</v>
      </c>
      <c r="T22" s="1">
        <v>75.017738342285199</v>
      </c>
      <c r="U22" s="1">
        <v>9.2265275298430698</v>
      </c>
      <c r="V22" s="7">
        <v>755.02945788226396</v>
      </c>
    </row>
    <row r="23" spans="1:22" ht="21" customHeight="1">
      <c r="A23" s="10">
        <v>46039</v>
      </c>
      <c r="B23" s="4">
        <v>1.4299989938736</v>
      </c>
      <c r="C23" s="3">
        <v>1.9936161041259799</v>
      </c>
      <c r="D23" s="3">
        <v>0.98787832260131803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0</v>
      </c>
      <c r="K23" s="3">
        <f t="shared" si="0"/>
        <v>1.4299989938736</v>
      </c>
      <c r="L23" s="3">
        <v>1.05453705787659</v>
      </c>
      <c r="M23" s="3">
        <v>1.5560002326965301</v>
      </c>
      <c r="N23" s="4">
        <v>0.59600019454956099</v>
      </c>
      <c r="O23" s="4">
        <v>0.93999940156936601</v>
      </c>
      <c r="P23" s="4">
        <v>1.75780582427979</v>
      </c>
      <c r="Q23" s="4">
        <v>0.25672149658203097</v>
      </c>
      <c r="R23" s="4">
        <v>0.92999941110610995</v>
      </c>
      <c r="S23" s="2">
        <v>30.170595169067401</v>
      </c>
      <c r="T23" s="2">
        <v>70.532218933105497</v>
      </c>
      <c r="U23" s="2">
        <v>9.3008330661940697</v>
      </c>
      <c r="V23" s="5">
        <v>684.32362171674094</v>
      </c>
    </row>
    <row r="24" spans="1:22" ht="21" customHeight="1">
      <c r="A24" s="9">
        <v>46040</v>
      </c>
      <c r="B24" s="1">
        <v>1.45999896526337</v>
      </c>
      <c r="C24" s="1">
        <v>2.3065338134765598</v>
      </c>
      <c r="D24" s="1">
        <v>0.97760725021362305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8">
        <f t="shared" si="0"/>
        <v>1.45999896526337</v>
      </c>
      <c r="L24" s="1">
        <v>1.0658695697784399</v>
      </c>
      <c r="M24" s="1">
        <v>1.78600025177002</v>
      </c>
      <c r="N24" s="1">
        <v>0.60700035095214799</v>
      </c>
      <c r="O24" s="1">
        <v>0.96999937295913696</v>
      </c>
      <c r="P24" s="1">
        <v>1.82246589660645</v>
      </c>
      <c r="Q24" s="1">
        <v>0.25677728652954102</v>
      </c>
      <c r="R24" s="1">
        <v>0.92999941110610995</v>
      </c>
      <c r="S24" s="1">
        <v>29.710584640502901</v>
      </c>
      <c r="T24" s="1">
        <v>71.426193237304702</v>
      </c>
      <c r="U24" s="1">
        <v>9.3150126349188707</v>
      </c>
      <c r="V24" s="7">
        <v>698.60055217517595</v>
      </c>
    </row>
    <row r="25" spans="1:22" ht="21" customHeight="1">
      <c r="A25" s="12">
        <v>46041</v>
      </c>
      <c r="B25" s="2">
        <v>1.62999880313873</v>
      </c>
      <c r="C25" s="2">
        <v>2.83117580413818</v>
      </c>
      <c r="D25" s="2">
        <v>0</v>
      </c>
      <c r="E25" s="2">
        <v>0</v>
      </c>
      <c r="F25" s="2">
        <v>0</v>
      </c>
      <c r="G25" s="2">
        <v>-3.08990478515625E-4</v>
      </c>
      <c r="H25" s="2">
        <v>0</v>
      </c>
      <c r="I25" s="2">
        <v>0.96870875358581499</v>
      </c>
      <c r="J25" s="2">
        <v>0</v>
      </c>
      <c r="K25" s="3">
        <f t="shared" si="0"/>
        <v>1.62999880313873</v>
      </c>
      <c r="L25" s="2">
        <v>1.20879030227661</v>
      </c>
      <c r="M25" s="2">
        <v>2.0160002708435099</v>
      </c>
      <c r="N25" s="2">
        <v>0.50400018692016602</v>
      </c>
      <c r="O25" s="2">
        <v>1.1399992704391499</v>
      </c>
      <c r="P25" s="2">
        <v>4.4742679595947301</v>
      </c>
      <c r="Q25" s="2">
        <v>0</v>
      </c>
      <c r="R25" s="2">
        <v>0.93999940156936601</v>
      </c>
      <c r="S25" s="2">
        <v>29.9805908203125</v>
      </c>
      <c r="T25" s="2">
        <v>83.749031066894503</v>
      </c>
      <c r="U25" s="2">
        <v>9.2643911039937006</v>
      </c>
      <c r="V25" s="5">
        <v>699.48483630532303</v>
      </c>
    </row>
    <row r="26" spans="1:22" ht="21" customHeight="1">
      <c r="A26" s="9">
        <v>46042</v>
      </c>
      <c r="B26" s="1">
        <v>1.54999887943268</v>
      </c>
      <c r="C26" s="1">
        <v>2.0012454986572301</v>
      </c>
      <c r="D26" s="1">
        <v>0.624508857727051</v>
      </c>
      <c r="E26" s="1">
        <v>0</v>
      </c>
      <c r="F26" s="1">
        <v>0</v>
      </c>
      <c r="G26" s="1">
        <v>-2.4628639221191401E-4</v>
      </c>
      <c r="H26" s="1">
        <v>0</v>
      </c>
      <c r="I26" s="1">
        <v>0</v>
      </c>
      <c r="J26" s="1">
        <v>0</v>
      </c>
      <c r="K26" s="8">
        <f t="shared" si="0"/>
        <v>1.54999887943268</v>
      </c>
      <c r="L26" s="1">
        <v>1.2004213333129901</v>
      </c>
      <c r="M26" s="1">
        <v>1.5430002212524401</v>
      </c>
      <c r="N26" s="1">
        <v>0.38100004196166998</v>
      </c>
      <c r="O26" s="1">
        <v>1.04999935626984</v>
      </c>
      <c r="P26" s="1">
        <v>3.4269256591796902</v>
      </c>
      <c r="Q26" s="1">
        <v>0</v>
      </c>
      <c r="R26" s="1">
        <v>0.95999938249588002</v>
      </c>
      <c r="S26" s="1">
        <v>29.550580978393601</v>
      </c>
      <c r="T26" s="1">
        <v>78.204429626464801</v>
      </c>
      <c r="U26" s="1">
        <v>9.2611288214989091</v>
      </c>
      <c r="V26" s="7">
        <v>700.22578507583103</v>
      </c>
    </row>
    <row r="27" spans="1:22" ht="21" customHeight="1">
      <c r="A27" s="10">
        <v>46043</v>
      </c>
      <c r="B27" s="4">
        <v>1.41999900341034</v>
      </c>
      <c r="C27" s="3">
        <v>1.7711353302002</v>
      </c>
      <c r="D27" s="3">
        <v>0.55467414855956998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0</v>
      </c>
      <c r="K27" s="3">
        <f t="shared" si="0"/>
        <v>1.41999900341034</v>
      </c>
      <c r="L27" s="3">
        <v>1.0793373584747299</v>
      </c>
      <c r="M27" s="3">
        <v>4.5240001678466797</v>
      </c>
      <c r="N27" s="4">
        <v>0.28500032424926802</v>
      </c>
      <c r="O27" s="4">
        <v>0.93999940156936601</v>
      </c>
      <c r="P27" s="4">
        <v>1.65055227279663</v>
      </c>
      <c r="Q27" s="4">
        <v>0.249011039733887</v>
      </c>
      <c r="R27" s="4">
        <v>0.95999938249588002</v>
      </c>
      <c r="S27" s="2">
        <v>29.3205757141113</v>
      </c>
      <c r="T27" s="2">
        <v>79.022560119628906</v>
      </c>
      <c r="U27" s="2">
        <v>9.2651592480630995</v>
      </c>
      <c r="V27" s="5">
        <v>722.42237736302297</v>
      </c>
    </row>
    <row r="28" spans="1:22" ht="21" customHeight="1">
      <c r="A28" s="9">
        <v>46044</v>
      </c>
      <c r="B28" s="1">
        <v>1.46999895572662</v>
      </c>
      <c r="C28" s="1">
        <v>1.8664522171020499</v>
      </c>
      <c r="D28" s="1">
        <v>0.46864557266235402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8">
        <f t="shared" si="0"/>
        <v>1.46999895572662</v>
      </c>
      <c r="L28" s="1">
        <v>1.08218550682068</v>
      </c>
      <c r="M28" s="1">
        <v>1.42800045013428</v>
      </c>
      <c r="N28" s="1">
        <v>0.61500024795532204</v>
      </c>
      <c r="O28" s="1">
        <v>0.96999937295913696</v>
      </c>
      <c r="P28" s="1">
        <v>1.5845832824707</v>
      </c>
      <c r="Q28" s="1">
        <v>0.261893510818481</v>
      </c>
      <c r="R28" s="1">
        <v>0.96999937295913696</v>
      </c>
      <c r="S28" s="1">
        <v>30.060592651367202</v>
      </c>
      <c r="T28" s="1">
        <v>93.250869750976605</v>
      </c>
      <c r="U28" s="1">
        <v>9.3194630966159995</v>
      </c>
      <c r="V28" s="7">
        <v>716.70681747850097</v>
      </c>
    </row>
    <row r="29" spans="1:22" ht="21" customHeight="1">
      <c r="A29" s="12">
        <v>46045</v>
      </c>
      <c r="B29" s="2">
        <v>1.4799989461898799</v>
      </c>
      <c r="C29" s="2">
        <v>4.3588695526123002</v>
      </c>
      <c r="D29" s="2">
        <v>0</v>
      </c>
      <c r="E29" s="2">
        <v>0</v>
      </c>
      <c r="F29" s="2">
        <v>0</v>
      </c>
      <c r="G29" s="2">
        <v>0</v>
      </c>
      <c r="H29" s="2">
        <v>9.9999997764825804E-3</v>
      </c>
      <c r="I29" s="2">
        <v>0.97761201858520497</v>
      </c>
      <c r="J29" s="2">
        <v>0</v>
      </c>
      <c r="K29" s="3">
        <f t="shared" si="0"/>
        <v>1.4899989459663625</v>
      </c>
      <c r="L29" s="2">
        <v>1.1898286342620801</v>
      </c>
      <c r="M29" s="2">
        <v>6.0120000839233398</v>
      </c>
      <c r="N29" s="2">
        <v>0</v>
      </c>
      <c r="O29" s="2">
        <v>0.99999934434890703</v>
      </c>
      <c r="P29" s="2">
        <v>2.0654563903808598</v>
      </c>
      <c r="Q29" s="2">
        <v>0.247049570083618</v>
      </c>
      <c r="R29" s="2">
        <v>0.97999936342239402</v>
      </c>
      <c r="S29" s="2">
        <v>29.460578918456999</v>
      </c>
      <c r="T29" s="2">
        <v>85.705963134765597</v>
      </c>
      <c r="U29" s="2">
        <v>9.2889644590991498</v>
      </c>
      <c r="V29" s="5">
        <v>741.49491537702499</v>
      </c>
    </row>
    <row r="30" spans="1:22" ht="21" customHeight="1">
      <c r="A30" s="9">
        <v>46046</v>
      </c>
      <c r="B30" s="1">
        <v>1.49999892711639</v>
      </c>
      <c r="C30" s="1">
        <v>1.97439193725586</v>
      </c>
      <c r="D30" s="1">
        <v>1.0853462219238299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8">
        <f t="shared" si="0"/>
        <v>1.49999892711639</v>
      </c>
      <c r="L30" s="1">
        <v>1.1459823846817001</v>
      </c>
      <c r="M30" s="1">
        <v>1.5430002212524401</v>
      </c>
      <c r="N30" s="1">
        <v>0.70200014114379905</v>
      </c>
      <c r="O30" s="1">
        <v>1.00999939441681</v>
      </c>
      <c r="P30" s="1">
        <v>1.8290920257568399</v>
      </c>
      <c r="Q30" s="1">
        <v>0.258729457855225</v>
      </c>
      <c r="R30" s="1">
        <v>0.95999938249588002</v>
      </c>
      <c r="S30" s="1">
        <v>29.8105869293213</v>
      </c>
      <c r="T30" s="1">
        <v>95.222610473632798</v>
      </c>
      <c r="U30" s="1">
        <v>9.2548063081366205</v>
      </c>
      <c r="V30" s="7">
        <v>725.35945117730398</v>
      </c>
    </row>
    <row r="31" spans="1:22" ht="21" customHeight="1">
      <c r="A31" s="10">
        <v>46047</v>
      </c>
      <c r="B31" s="4">
        <v>1.46999895572662</v>
      </c>
      <c r="C31" s="3">
        <v>1.92962646484375</v>
      </c>
      <c r="D31" s="3">
        <v>1.02520656585693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4">
        <v>0</v>
      </c>
      <c r="K31" s="3">
        <f t="shared" si="0"/>
        <v>1.46999895572662</v>
      </c>
      <c r="L31" s="3">
        <v>1.1180433034896899</v>
      </c>
      <c r="M31" s="3">
        <v>1.5310001373291</v>
      </c>
      <c r="N31" s="4">
        <v>0.64600038528442405</v>
      </c>
      <c r="O31" s="4">
        <v>0.99999934434890703</v>
      </c>
      <c r="P31" s="4">
        <v>1.7868537902832</v>
      </c>
      <c r="Q31" s="4">
        <v>0.25494003295898399</v>
      </c>
      <c r="R31" s="4">
        <v>0.96999937295913696</v>
      </c>
      <c r="S31" s="2">
        <v>29.860588073730501</v>
      </c>
      <c r="T31" s="2">
        <v>91.387054443359403</v>
      </c>
      <c r="U31" s="2">
        <v>9.2837020268947192</v>
      </c>
      <c r="V31" s="5">
        <v>750.03024866715202</v>
      </c>
    </row>
    <row r="32" spans="1:22" ht="21" customHeight="1">
      <c r="A32" s="9">
        <v>46048</v>
      </c>
      <c r="B32" s="1">
        <v>1.6199988126754801</v>
      </c>
      <c r="C32" s="1">
        <v>2.1221866607665998</v>
      </c>
      <c r="D32" s="1">
        <v>1.16668128967285</v>
      </c>
      <c r="E32" s="1">
        <v>0</v>
      </c>
      <c r="F32" s="1">
        <v>0</v>
      </c>
      <c r="G32" s="1">
        <v>-1.8215179443359399E-4</v>
      </c>
      <c r="H32" s="1">
        <v>0</v>
      </c>
      <c r="I32" s="1">
        <v>0</v>
      </c>
      <c r="J32" s="1">
        <v>0</v>
      </c>
      <c r="K32" s="8">
        <f t="shared" si="0"/>
        <v>1.6199988126754801</v>
      </c>
      <c r="L32" s="1">
        <v>1.19966804981232</v>
      </c>
      <c r="M32" s="1">
        <v>1.6900000572204601</v>
      </c>
      <c r="N32" s="1">
        <v>0.79800033569335904</v>
      </c>
      <c r="O32" s="1">
        <v>1.1199992895126301</v>
      </c>
      <c r="P32" s="1">
        <v>1.92934417724609</v>
      </c>
      <c r="Q32" s="1">
        <v>0.29451751708984403</v>
      </c>
      <c r="R32" s="1">
        <v>0.96999937295913696</v>
      </c>
      <c r="S32" s="1">
        <v>29.3305759429932</v>
      </c>
      <c r="T32" s="1">
        <v>83.810997009277301</v>
      </c>
      <c r="U32" s="1">
        <v>9.3030336739993498</v>
      </c>
      <c r="V32" s="7">
        <v>660.09304887554799</v>
      </c>
    </row>
    <row r="33" spans="1:22" ht="21" customHeight="1">
      <c r="A33" s="12">
        <v>46049</v>
      </c>
      <c r="B33" s="2">
        <v>1.59999883174896</v>
      </c>
      <c r="C33" s="2">
        <v>1.98652839660645</v>
      </c>
      <c r="D33" s="2">
        <v>1.1204409599304199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3">
        <f t="shared" si="0"/>
        <v>1.59999883174896</v>
      </c>
      <c r="L33" s="2">
        <v>1.27361607551575</v>
      </c>
      <c r="M33" s="2">
        <v>1.55400037765503</v>
      </c>
      <c r="N33" s="2">
        <v>0.77400016784668002</v>
      </c>
      <c r="O33" s="2">
        <v>1.1199992895126301</v>
      </c>
      <c r="P33" s="2">
        <v>1.85422706604004</v>
      </c>
      <c r="Q33" s="2">
        <v>0.290889501571655</v>
      </c>
      <c r="R33" s="2">
        <v>0.98999935388565097</v>
      </c>
      <c r="S33" s="2">
        <v>29.680583953857401</v>
      </c>
      <c r="T33" s="2">
        <v>81.884895324707003</v>
      </c>
      <c r="U33" s="2">
        <v>9.26319552495133</v>
      </c>
      <c r="V33" s="5">
        <v>725.62175423606902</v>
      </c>
    </row>
    <row r="34" spans="1:22" ht="21" customHeight="1">
      <c r="A34" s="9">
        <v>46050</v>
      </c>
      <c r="B34" s="1">
        <v>1.4799989461898799</v>
      </c>
      <c r="C34" s="1">
        <v>1.91307353973389</v>
      </c>
      <c r="D34" s="1">
        <v>0.70215988159179699</v>
      </c>
      <c r="E34" s="1">
        <v>0</v>
      </c>
      <c r="F34" s="1">
        <v>0</v>
      </c>
      <c r="G34" s="1">
        <v>-2.78711318969727E-4</v>
      </c>
      <c r="H34" s="1">
        <v>0</v>
      </c>
      <c r="I34" s="1">
        <v>0</v>
      </c>
      <c r="J34" s="1">
        <v>0</v>
      </c>
      <c r="K34" s="8">
        <f t="shared" si="0"/>
        <v>1.4799989461898799</v>
      </c>
      <c r="L34" s="1">
        <v>1.1452987194061299</v>
      </c>
      <c r="M34" s="1">
        <v>1.51700019836426</v>
      </c>
      <c r="N34" s="1">
        <v>0.39900016784668002</v>
      </c>
      <c r="O34" s="1">
        <v>0.98999935388565097</v>
      </c>
      <c r="P34" s="1">
        <v>1.7938308715820299</v>
      </c>
      <c r="Q34" s="1">
        <v>0.24354171752929701</v>
      </c>
      <c r="R34" s="1">
        <v>0.99999934434890703</v>
      </c>
      <c r="S34" s="1">
        <v>29.220573425293001</v>
      </c>
      <c r="T34" s="1">
        <v>85.930564880371094</v>
      </c>
      <c r="U34" s="1">
        <v>9.3432813734541007</v>
      </c>
      <c r="V34" s="7">
        <v>694.09918005057204</v>
      </c>
    </row>
    <row r="35" spans="1:22" ht="21" customHeight="1">
      <c r="A35" s="10">
        <v>46051</v>
      </c>
      <c r="B35" s="4">
        <v>1.45999896526337</v>
      </c>
      <c r="C35" s="3">
        <v>4.3719539642334002</v>
      </c>
      <c r="D35" s="3">
        <v>0</v>
      </c>
      <c r="E35" s="3">
        <v>0</v>
      </c>
      <c r="F35" s="3">
        <v>0</v>
      </c>
      <c r="G35" s="3">
        <v>-2.60829925537109E-4</v>
      </c>
      <c r="H35" s="3">
        <v>0</v>
      </c>
      <c r="I35" s="3">
        <v>0.21670031547546401</v>
      </c>
      <c r="J35" s="4">
        <v>0</v>
      </c>
      <c r="K35" s="3">
        <f t="shared" si="0"/>
        <v>1.45999896526337</v>
      </c>
      <c r="L35" s="3">
        <v>1.13981509208679</v>
      </c>
      <c r="M35" s="3">
        <v>6.5360002517700204</v>
      </c>
      <c r="N35" s="4">
        <v>0.13700008392334001</v>
      </c>
      <c r="O35" s="4">
        <v>0.96999937295913696</v>
      </c>
      <c r="P35" s="4">
        <v>2.0955567359924299</v>
      </c>
      <c r="Q35" s="4">
        <v>0</v>
      </c>
      <c r="R35" s="4">
        <v>0.99999934434890703</v>
      </c>
      <c r="S35" s="2">
        <v>29.720584869384801</v>
      </c>
      <c r="T35" s="2">
        <v>88.306747436523395</v>
      </c>
      <c r="U35" s="2">
        <v>9.27630042665281</v>
      </c>
      <c r="V35" s="5">
        <v>704.24833385475495</v>
      </c>
    </row>
    <row r="36" spans="1:22" ht="21" customHeight="1">
      <c r="A36" s="9">
        <v>46052</v>
      </c>
      <c r="B36" s="1">
        <v>1.4299989938736</v>
      </c>
      <c r="C36" s="1">
        <v>1.86735439300537</v>
      </c>
      <c r="D36" s="1">
        <v>0.66933202743530296</v>
      </c>
      <c r="E36" s="1">
        <v>0</v>
      </c>
      <c r="F36" s="1">
        <v>0</v>
      </c>
      <c r="G36" s="1">
        <v>-1.8024444580078101E-4</v>
      </c>
      <c r="H36" s="1">
        <v>0</v>
      </c>
      <c r="I36" s="1">
        <v>0</v>
      </c>
      <c r="J36" s="1">
        <v>0</v>
      </c>
      <c r="K36" s="8">
        <f t="shared" si="0"/>
        <v>1.4299989938736</v>
      </c>
      <c r="L36" s="1">
        <v>1.11714816093445</v>
      </c>
      <c r="M36" s="1">
        <v>1.5780000686645499</v>
      </c>
      <c r="N36" s="1">
        <v>0.369000434875488</v>
      </c>
      <c r="O36" s="1">
        <v>0.96999937295913696</v>
      </c>
      <c r="P36" s="1">
        <v>1.7763037681579601</v>
      </c>
      <c r="Q36" s="1">
        <v>0.245867013931274</v>
      </c>
      <c r="R36" s="1">
        <v>0.99999934434890703</v>
      </c>
      <c r="S36" s="1">
        <v>29.930589675903299</v>
      </c>
      <c r="T36" s="1">
        <v>89.214790344238295</v>
      </c>
      <c r="U36" s="1">
        <v>9.2946094078185908</v>
      </c>
      <c r="V36" s="7">
        <v>724.81733378078297</v>
      </c>
    </row>
    <row r="37" spans="1:22" ht="21" customHeight="1">
      <c r="A37" s="12"/>
      <c r="B37" s="2"/>
      <c r="C37" s="2"/>
      <c r="D37" s="2"/>
      <c r="E37" s="2"/>
      <c r="F37" s="2"/>
      <c r="G37" s="2"/>
      <c r="H37" s="2"/>
      <c r="I37" s="2"/>
      <c r="J37" s="2"/>
      <c r="K37" s="3" t="str">
        <f t="shared" si="0"/>
        <v/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5"/>
    </row>
  </sheetData>
  <mergeCells count="7">
    <mergeCell ref="A2:T3"/>
    <mergeCell ref="U2:V3"/>
    <mergeCell ref="B5:D5"/>
    <mergeCell ref="E5:G5"/>
    <mergeCell ref="H5:J5"/>
    <mergeCell ref="L5:N5"/>
    <mergeCell ref="O5:Q5"/>
  </mergeCells>
  <printOptions horizontalCentered="1"/>
  <pageMargins left="0.25" right="0.25" top="0.75" bottom="0.75" header="0.3" footer="0.3"/>
  <pageSetup scale="72" orientation="landscape" horizontalDpi="300" verticalDpi="300"/>
  <headerFooter>
    <oddHeader>&amp;LHull WWTF&amp;RPrinted on-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37"/>
  <sheetViews>
    <sheetView workbookViewId="0"/>
  </sheetViews>
  <sheetFormatPr defaultRowHeight="12"/>
  <cols>
    <col min="1" max="1" width="10.5703125" style="36" customWidth="1"/>
    <col min="2" max="10" width="7" style="24" customWidth="1"/>
    <col min="11" max="11" width="10.85546875" style="24" bestFit="1" customWidth="1"/>
    <col min="12" max="17" width="7" style="24" customWidth="1"/>
    <col min="18" max="18" width="8.5703125" style="19" customWidth="1"/>
    <col min="19" max="19" width="8.42578125" style="19" customWidth="1"/>
    <col min="20" max="20" width="10.42578125" style="19" customWidth="1"/>
    <col min="21" max="21" width="8" style="19" customWidth="1"/>
    <col min="22" max="22" width="7.5703125" style="19" customWidth="1"/>
    <col min="23" max="16384" width="9.140625" style="19"/>
  </cols>
  <sheetData>
    <row r="1" spans="1:22" s="27" customFormat="1" ht="2.25" customHeight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2" ht="18.75" customHeight="1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  <c r="U2" s="48" t="s">
        <v>1</v>
      </c>
      <c r="V2" s="49"/>
    </row>
    <row r="3" spans="1:22" ht="11.25" customHeight="1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  <c r="U3" s="50"/>
      <c r="V3" s="51"/>
    </row>
    <row r="4" spans="1:22" ht="11.25" customHeight="1">
      <c r="A4" s="41"/>
      <c r="B4" s="28"/>
      <c r="C4" s="34"/>
      <c r="D4" s="17"/>
      <c r="E4" s="17"/>
      <c r="F4" s="17"/>
      <c r="G4" s="17"/>
      <c r="H4" s="11"/>
      <c r="I4" s="11"/>
      <c r="J4" s="11"/>
      <c r="K4" s="11"/>
      <c r="L4" s="11"/>
      <c r="M4" s="11"/>
      <c r="N4" s="11"/>
      <c r="O4" s="11"/>
      <c r="P4" s="20"/>
      <c r="Q4" s="20"/>
      <c r="R4" s="37"/>
      <c r="S4" s="23" t="s">
        <v>2</v>
      </c>
      <c r="T4" s="38" t="s">
        <v>2</v>
      </c>
      <c r="U4" s="30"/>
      <c r="V4" s="33"/>
    </row>
    <row r="5" spans="1:22" ht="13.5" customHeight="1">
      <c r="A5" s="25"/>
      <c r="B5" s="52" t="s">
        <v>3</v>
      </c>
      <c r="C5" s="53"/>
      <c r="D5" s="54"/>
      <c r="E5" s="52" t="s">
        <v>4</v>
      </c>
      <c r="F5" s="53"/>
      <c r="G5" s="54"/>
      <c r="H5" s="55" t="s">
        <v>5</v>
      </c>
      <c r="I5" s="55"/>
      <c r="J5" s="55"/>
      <c r="K5" s="16" t="s">
        <v>6</v>
      </c>
      <c r="L5" s="52" t="s">
        <v>7</v>
      </c>
      <c r="M5" s="53"/>
      <c r="N5" s="54"/>
      <c r="O5" s="52" t="s">
        <v>8</v>
      </c>
      <c r="P5" s="53"/>
      <c r="Q5" s="54"/>
      <c r="R5" s="40" t="s">
        <v>9</v>
      </c>
      <c r="S5" s="31" t="s">
        <v>10</v>
      </c>
      <c r="T5" s="18" t="s">
        <v>11</v>
      </c>
      <c r="U5" s="32" t="s">
        <v>12</v>
      </c>
      <c r="V5" s="18" t="s">
        <v>13</v>
      </c>
    </row>
    <row r="6" spans="1:22" s="29" customFormat="1">
      <c r="A6" s="22" t="s">
        <v>14</v>
      </c>
      <c r="B6" s="13" t="s">
        <v>15</v>
      </c>
      <c r="C6" s="14" t="s">
        <v>16</v>
      </c>
      <c r="D6" s="15" t="s">
        <v>17</v>
      </c>
      <c r="E6" s="13" t="s">
        <v>15</v>
      </c>
      <c r="F6" s="14" t="s">
        <v>16</v>
      </c>
      <c r="G6" s="15" t="s">
        <v>17</v>
      </c>
      <c r="H6" s="13" t="s">
        <v>15</v>
      </c>
      <c r="I6" s="14" t="s">
        <v>16</v>
      </c>
      <c r="J6" s="15" t="s">
        <v>17</v>
      </c>
      <c r="K6" s="13" t="s">
        <v>18</v>
      </c>
      <c r="L6" s="39" t="s">
        <v>15</v>
      </c>
      <c r="M6" s="14" t="s">
        <v>16</v>
      </c>
      <c r="N6" s="15" t="s">
        <v>17</v>
      </c>
      <c r="O6" s="13" t="s">
        <v>15</v>
      </c>
      <c r="P6" s="14" t="s">
        <v>16</v>
      </c>
      <c r="Q6" s="15" t="s">
        <v>17</v>
      </c>
      <c r="R6" s="13" t="s">
        <v>15</v>
      </c>
      <c r="S6" s="21" t="s">
        <v>15</v>
      </c>
      <c r="T6" s="21" t="s">
        <v>15</v>
      </c>
      <c r="U6" s="26" t="s">
        <v>19</v>
      </c>
      <c r="V6" s="35" t="s">
        <v>19</v>
      </c>
    </row>
    <row r="7" spans="1:22" ht="21" customHeight="1">
      <c r="A7" s="10">
        <v>46054</v>
      </c>
      <c r="B7" s="4">
        <v>1.5399988889694201</v>
      </c>
      <c r="C7" s="3">
        <v>2.4334297180175799</v>
      </c>
      <c r="D7" s="3">
        <v>0.98473882675170898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0</v>
      </c>
      <c r="K7" s="3">
        <f t="shared" ref="K7:K37" si="0">IF(B7="","",B7+E7+H7)</f>
        <v>1.5399988889694201</v>
      </c>
      <c r="L7" s="3">
        <v>1.1769672632217401</v>
      </c>
      <c r="M7" s="3">
        <v>1.99000024795532</v>
      </c>
      <c r="N7" s="4">
        <v>0.65200042724609397</v>
      </c>
      <c r="O7" s="4">
        <v>1.0699993371963501</v>
      </c>
      <c r="P7" s="4">
        <v>2.1944303512573202</v>
      </c>
      <c r="Q7" s="4">
        <v>0.26012802124023399</v>
      </c>
      <c r="R7" s="4">
        <v>0.99999934434890703</v>
      </c>
      <c r="S7" s="2">
        <v>29.8105869293213</v>
      </c>
      <c r="T7" s="2">
        <v>94.047821044921903</v>
      </c>
      <c r="U7" s="2">
        <v>9.3439858150283399</v>
      </c>
      <c r="V7" s="5">
        <v>689.77343257986195</v>
      </c>
    </row>
    <row r="8" spans="1:22" ht="21" customHeight="1">
      <c r="A8" s="9">
        <v>46055</v>
      </c>
      <c r="B8" s="1">
        <v>1.5799988508224501</v>
      </c>
      <c r="C8" s="1">
        <v>4.0709171295165998</v>
      </c>
      <c r="D8" s="1">
        <v>0</v>
      </c>
      <c r="E8" s="1">
        <v>0</v>
      </c>
      <c r="F8" s="1">
        <v>0</v>
      </c>
      <c r="G8" s="1">
        <v>0</v>
      </c>
      <c r="H8" s="1">
        <v>9.9999997764825804E-3</v>
      </c>
      <c r="I8" s="1">
        <v>1.03680872917175</v>
      </c>
      <c r="J8" s="1">
        <v>0</v>
      </c>
      <c r="K8" s="8">
        <f t="shared" si="0"/>
        <v>1.5899988505989326</v>
      </c>
      <c r="L8" s="1">
        <v>1.2795552015304601</v>
      </c>
      <c r="M8" s="1">
        <v>4.1550006866455096</v>
      </c>
      <c r="N8" s="1">
        <v>9.2000007629394503E-2</v>
      </c>
      <c r="O8" s="1">
        <v>1.12999927997589</v>
      </c>
      <c r="P8" s="1">
        <v>2.2072997093200701</v>
      </c>
      <c r="Q8" s="1">
        <v>0.25583028793335</v>
      </c>
      <c r="R8" s="1">
        <v>0.99999934434890703</v>
      </c>
      <c r="S8" s="1">
        <v>29.290575027465799</v>
      </c>
      <c r="T8" s="1">
        <v>87.645187377929702</v>
      </c>
      <c r="U8" s="1">
        <v>9.3163065453052791</v>
      </c>
      <c r="V8" s="7">
        <v>697.76526065532198</v>
      </c>
    </row>
    <row r="9" spans="1:22" ht="21" customHeight="1">
      <c r="A9" s="12">
        <v>46056</v>
      </c>
      <c r="B9" s="2">
        <v>1.5299988985061601</v>
      </c>
      <c r="C9" s="2">
        <v>2.0343608856201199</v>
      </c>
      <c r="D9" s="2">
        <v>0.79279994964599598</v>
      </c>
      <c r="E9" s="2">
        <v>0</v>
      </c>
      <c r="F9" s="2">
        <v>0</v>
      </c>
      <c r="G9" s="2">
        <v>-2.5010108947753901E-4</v>
      </c>
      <c r="H9" s="2">
        <v>0</v>
      </c>
      <c r="I9" s="2">
        <v>0</v>
      </c>
      <c r="J9" s="2">
        <v>0</v>
      </c>
      <c r="K9" s="3">
        <f t="shared" si="0"/>
        <v>1.5299988985061601</v>
      </c>
      <c r="L9" s="2">
        <v>1.2051701545715301</v>
      </c>
      <c r="M9" s="2">
        <v>1.6440000534057599</v>
      </c>
      <c r="N9" s="2">
        <v>0.46100044250488298</v>
      </c>
      <c r="O9" s="2">
        <v>1.0599993467330899</v>
      </c>
      <c r="P9" s="2">
        <v>1.84160900115967</v>
      </c>
      <c r="Q9" s="2">
        <v>0.25724554061889598</v>
      </c>
      <c r="R9" s="2">
        <v>0.98999935388565097</v>
      </c>
      <c r="S9" s="2">
        <v>29.550580978393601</v>
      </c>
      <c r="T9" s="2">
        <v>83.5479736328125</v>
      </c>
      <c r="U9" s="2">
        <v>9.3422616732625805</v>
      </c>
      <c r="V9" s="5">
        <v>654.84182173017803</v>
      </c>
    </row>
    <row r="10" spans="1:22" ht="21" customHeight="1">
      <c r="A10" s="9">
        <v>46057</v>
      </c>
      <c r="B10" s="1">
        <v>1.49999892711639</v>
      </c>
      <c r="C10" s="1">
        <v>1.8586444854736299</v>
      </c>
      <c r="D10" s="1">
        <v>1.08287000656128</v>
      </c>
      <c r="E10" s="1">
        <v>0</v>
      </c>
      <c r="F10" s="1">
        <v>0</v>
      </c>
      <c r="G10" s="1">
        <v>-1.94549560546875E-4</v>
      </c>
      <c r="H10" s="1">
        <v>0</v>
      </c>
      <c r="I10" s="1">
        <v>0</v>
      </c>
      <c r="J10" s="1">
        <v>0</v>
      </c>
      <c r="K10" s="8">
        <f t="shared" si="0"/>
        <v>1.49999892711639</v>
      </c>
      <c r="L10" s="1">
        <v>1.17003309726715</v>
      </c>
      <c r="M10" s="1">
        <v>1.4840002059936499</v>
      </c>
      <c r="N10" s="1">
        <v>0.76200008392333995</v>
      </c>
      <c r="O10" s="1">
        <v>1.0199993848800699</v>
      </c>
      <c r="P10" s="1">
        <v>1.7058906555175799</v>
      </c>
      <c r="Q10" s="1">
        <v>0.26532864570617698</v>
      </c>
      <c r="R10" s="1">
        <v>0.99999934434890703</v>
      </c>
      <c r="S10" s="1">
        <v>29.6305828094482</v>
      </c>
      <c r="T10" s="1">
        <v>82.624977111816406</v>
      </c>
      <c r="U10" s="1">
        <v>9.3388046635116808</v>
      </c>
      <c r="V10" s="7">
        <v>667.34232426286201</v>
      </c>
    </row>
    <row r="11" spans="1:22" ht="21" customHeight="1">
      <c r="A11" s="10">
        <v>46058</v>
      </c>
      <c r="B11" s="4">
        <v>1.45999896526337</v>
      </c>
      <c r="C11" s="3">
        <v>1.91235256195068</v>
      </c>
      <c r="D11" s="3">
        <v>0.75586080551147505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0</v>
      </c>
      <c r="K11" s="3">
        <f t="shared" si="0"/>
        <v>1.45999896526337</v>
      </c>
      <c r="L11" s="3">
        <v>1.1251751184463501</v>
      </c>
      <c r="M11" s="3">
        <v>1.5390000343322801</v>
      </c>
      <c r="N11" s="4">
        <v>0.472000122070313</v>
      </c>
      <c r="O11" s="4">
        <v>0.98999935388565097</v>
      </c>
      <c r="P11" s="4">
        <v>1.6640548706054701</v>
      </c>
      <c r="Q11" s="4">
        <v>0.25477433204650901</v>
      </c>
      <c r="R11" s="4">
        <v>0.98999935388565097</v>
      </c>
      <c r="S11" s="2">
        <v>29.400577545166001</v>
      </c>
      <c r="T11" s="2">
        <v>81.864288330078097</v>
      </c>
      <c r="U11" s="2">
        <v>9.2515821731943806</v>
      </c>
      <c r="V11" s="5">
        <v>685.51835567641399</v>
      </c>
    </row>
    <row r="12" spans="1:22" ht="21" customHeight="1">
      <c r="A12" s="9">
        <v>46059</v>
      </c>
      <c r="B12" s="1">
        <v>1.4499989748001101</v>
      </c>
      <c r="C12" s="1">
        <v>2.3700151443481401</v>
      </c>
      <c r="D12" s="1">
        <v>0</v>
      </c>
      <c r="E12" s="1">
        <v>0</v>
      </c>
      <c r="F12" s="1">
        <v>0</v>
      </c>
      <c r="G12" s="1">
        <v>-2.60829925537109E-4</v>
      </c>
      <c r="H12" s="1">
        <v>0</v>
      </c>
      <c r="I12" s="1">
        <v>0</v>
      </c>
      <c r="J12" s="1">
        <v>0</v>
      </c>
      <c r="K12" s="8">
        <f t="shared" si="0"/>
        <v>1.4499989748001101</v>
      </c>
      <c r="L12" s="1">
        <v>1.1255680322647099</v>
      </c>
      <c r="M12" s="1">
        <v>1.84400033950806</v>
      </c>
      <c r="N12" s="1">
        <v>0.32500028610229498</v>
      </c>
      <c r="O12" s="1">
        <v>0.98999935388565097</v>
      </c>
      <c r="P12" s="1">
        <v>1.6732878684997601</v>
      </c>
      <c r="Q12" s="1">
        <v>0.25729680061340299</v>
      </c>
      <c r="R12" s="1">
        <v>0.99999934434890703</v>
      </c>
      <c r="S12" s="1">
        <v>30.070592880248999</v>
      </c>
      <c r="T12" s="1">
        <v>77.783599853515597</v>
      </c>
      <c r="U12" s="1">
        <v>9.4140501860697494</v>
      </c>
      <c r="V12" s="7">
        <v>652.43523173169797</v>
      </c>
    </row>
    <row r="13" spans="1:22" ht="21" customHeight="1">
      <c r="A13" s="12">
        <v>46060</v>
      </c>
      <c r="B13" s="2">
        <v>1.54999887943268</v>
      </c>
      <c r="C13" s="2">
        <v>1.9814624786377</v>
      </c>
      <c r="D13" s="2">
        <v>1.15703868865967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3">
        <f t="shared" si="0"/>
        <v>1.54999887943268</v>
      </c>
      <c r="L13" s="2">
        <v>1.1865038871765099</v>
      </c>
      <c r="M13" s="2">
        <v>1.6140003204345701</v>
      </c>
      <c r="N13" s="2">
        <v>0.83800029754638705</v>
      </c>
      <c r="O13" s="2">
        <v>1.07999932765961</v>
      </c>
      <c r="P13" s="2">
        <v>1.8298077583312999</v>
      </c>
      <c r="Q13" s="2">
        <v>0.29683589935302701</v>
      </c>
      <c r="R13" s="2">
        <v>1.00999939441681</v>
      </c>
      <c r="S13" s="2">
        <v>30.490602493286101</v>
      </c>
      <c r="T13" s="2">
        <v>80.818862915039105</v>
      </c>
      <c r="U13" s="2">
        <v>9.3256657758133503</v>
      </c>
      <c r="V13" s="5">
        <v>676.82346079430704</v>
      </c>
    </row>
    <row r="14" spans="1:22" ht="21" customHeight="1">
      <c r="A14" s="9">
        <v>46061</v>
      </c>
      <c r="B14" s="1">
        <v>1.58999884128571</v>
      </c>
      <c r="C14" s="1">
        <v>2.0917987823486301</v>
      </c>
      <c r="D14" s="1">
        <v>1.2040419578552199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8">
        <f t="shared" si="0"/>
        <v>1.58999884128571</v>
      </c>
      <c r="L14" s="1">
        <v>1.26611292362213</v>
      </c>
      <c r="M14" s="1">
        <v>1.6630001068115201</v>
      </c>
      <c r="N14" s="1">
        <v>0.88100004196167003</v>
      </c>
      <c r="O14" s="1">
        <v>1.12999927997589</v>
      </c>
      <c r="P14" s="1">
        <v>1.89602994918823</v>
      </c>
      <c r="Q14" s="1">
        <v>0.274788618087769</v>
      </c>
      <c r="R14" s="1">
        <v>0.98999935388565097</v>
      </c>
      <c r="S14" s="1">
        <v>29.370576858520501</v>
      </c>
      <c r="T14" s="1">
        <v>97.317710876464801</v>
      </c>
      <c r="U14" s="1">
        <v>9.3131626863459704</v>
      </c>
      <c r="V14" s="7">
        <v>662.20981401200902</v>
      </c>
    </row>
    <row r="15" spans="1:22" ht="21" customHeight="1">
      <c r="A15" s="10">
        <v>46062</v>
      </c>
      <c r="B15" s="4">
        <v>1.3999990224838299</v>
      </c>
      <c r="C15" s="3">
        <v>5.0277042388915998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0.92906141281127896</v>
      </c>
      <c r="J15" s="4">
        <v>0</v>
      </c>
      <c r="K15" s="3">
        <f t="shared" si="0"/>
        <v>1.3999990224838299</v>
      </c>
      <c r="L15" s="3">
        <v>1.12558364868164</v>
      </c>
      <c r="M15" s="3">
        <v>4.4780006408691397</v>
      </c>
      <c r="N15" s="4">
        <v>7.6000213623046903E-2</v>
      </c>
      <c r="O15" s="4">
        <v>0.93999940156936601</v>
      </c>
      <c r="P15" s="4">
        <v>2.0336055755615199</v>
      </c>
      <c r="Q15" s="4">
        <v>0.25473594665527299</v>
      </c>
      <c r="R15" s="4">
        <v>1.0199993848800699</v>
      </c>
      <c r="S15" s="2">
        <v>29.6905841827393</v>
      </c>
      <c r="T15" s="2">
        <v>84.220245361328097</v>
      </c>
      <c r="U15" s="2">
        <v>9.32912936513946</v>
      </c>
      <c r="V15" s="5">
        <v>740.14810488537705</v>
      </c>
    </row>
    <row r="16" spans="1:22" ht="21" customHeight="1">
      <c r="A16" s="9">
        <v>46063</v>
      </c>
      <c r="B16" s="1">
        <v>1.3099991083145099</v>
      </c>
      <c r="C16" s="1">
        <v>1.7406415939331099</v>
      </c>
      <c r="D16" s="1">
        <v>0.74109220504760698</v>
      </c>
      <c r="E16" s="1">
        <v>0</v>
      </c>
      <c r="F16" s="1">
        <v>0</v>
      </c>
      <c r="G16" s="1">
        <v>-1.2111663818359399E-4</v>
      </c>
      <c r="H16" s="1">
        <v>0</v>
      </c>
      <c r="I16" s="1">
        <v>0</v>
      </c>
      <c r="J16" s="1">
        <v>0</v>
      </c>
      <c r="K16" s="8">
        <f t="shared" si="0"/>
        <v>1.3099991083145099</v>
      </c>
      <c r="L16" s="1">
        <v>1.02256524562836</v>
      </c>
      <c r="M16" s="1">
        <v>1.37500047683716</v>
      </c>
      <c r="N16" s="1">
        <v>0.47600030899047902</v>
      </c>
      <c r="O16" s="1">
        <v>0.85999947786331199</v>
      </c>
      <c r="P16" s="1">
        <v>1.57094621658325</v>
      </c>
      <c r="Q16" s="1">
        <v>0.25195789337158198</v>
      </c>
      <c r="R16" s="1">
        <v>0.99999934434890703</v>
      </c>
      <c r="S16" s="1">
        <v>29.410577774047901</v>
      </c>
      <c r="T16" s="1">
        <v>83.414810180664105</v>
      </c>
      <c r="U16" s="1">
        <v>9.3339547640420708</v>
      </c>
      <c r="V16" s="7">
        <v>654.59728919076304</v>
      </c>
    </row>
    <row r="17" spans="1:22" ht="21" customHeight="1">
      <c r="A17" s="12">
        <v>46064</v>
      </c>
      <c r="B17" s="2">
        <v>1.3199990987777701</v>
      </c>
      <c r="C17" s="2">
        <v>1.73843002319336</v>
      </c>
      <c r="D17" s="2">
        <v>0.68045663833618197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3">
        <f t="shared" si="0"/>
        <v>1.3199990987777701</v>
      </c>
      <c r="L17" s="2">
        <v>1.01255095005035</v>
      </c>
      <c r="M17" s="2">
        <v>1.4040002822876001</v>
      </c>
      <c r="N17" s="2">
        <v>0.424000263214111</v>
      </c>
      <c r="O17" s="2">
        <v>0.86999946832656905</v>
      </c>
      <c r="P17" s="2">
        <v>1.59017610549927</v>
      </c>
      <c r="Q17" s="2">
        <v>0.25354480743408198</v>
      </c>
      <c r="R17" s="2">
        <v>0.97999936342239402</v>
      </c>
      <c r="S17" s="2">
        <v>30.100593566894499</v>
      </c>
      <c r="T17" s="2">
        <v>79.146392822265597</v>
      </c>
      <c r="U17" s="2">
        <v>9.3078822797996601</v>
      </c>
      <c r="V17" s="5">
        <v>688.28673069405795</v>
      </c>
    </row>
    <row r="18" spans="1:22" ht="21" customHeight="1">
      <c r="A18" s="9">
        <v>46065</v>
      </c>
      <c r="B18" s="1">
        <v>1.3299990892410301</v>
      </c>
      <c r="C18" s="1">
        <v>2.7627830505371098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8">
        <f t="shared" si="0"/>
        <v>1.3299990892410301</v>
      </c>
      <c r="L18" s="1">
        <v>1.02802550792694</v>
      </c>
      <c r="M18" s="1">
        <v>1.8090004920959499</v>
      </c>
      <c r="N18" s="1">
        <v>0.48200035095214799</v>
      </c>
      <c r="O18" s="1">
        <v>0.86999946832656905</v>
      </c>
      <c r="P18" s="1">
        <v>1.6328163146972701</v>
      </c>
      <c r="Q18" s="1">
        <v>0.25366330146789601</v>
      </c>
      <c r="R18" s="1">
        <v>0.98999935388565097</v>
      </c>
      <c r="S18" s="1">
        <v>30.210596084594702</v>
      </c>
      <c r="T18" s="1">
        <v>81.41455078125</v>
      </c>
      <c r="U18" s="1">
        <v>9.3440884211727795</v>
      </c>
      <c r="V18" s="7">
        <v>634.92031328043595</v>
      </c>
    </row>
    <row r="19" spans="1:22" ht="21" customHeight="1">
      <c r="A19" s="10">
        <v>46066</v>
      </c>
      <c r="B19" s="4">
        <v>1.29999911785126</v>
      </c>
      <c r="C19" s="3">
        <v>1.7214879989623999</v>
      </c>
      <c r="D19" s="3">
        <v>0.64862060546875</v>
      </c>
      <c r="E19" s="3">
        <v>0</v>
      </c>
      <c r="F19" s="3">
        <v>0</v>
      </c>
      <c r="G19" s="3">
        <v>-2.1076202392578101E-4</v>
      </c>
      <c r="H19" s="3">
        <v>0</v>
      </c>
      <c r="I19" s="3">
        <v>0</v>
      </c>
      <c r="J19" s="4">
        <v>0</v>
      </c>
      <c r="K19" s="3">
        <f t="shared" si="0"/>
        <v>1.29999911785126</v>
      </c>
      <c r="L19" s="3">
        <v>1.00902116298676</v>
      </c>
      <c r="M19" s="3">
        <v>1.4040002822876001</v>
      </c>
      <c r="N19" s="4">
        <v>0.394999980926514</v>
      </c>
      <c r="O19" s="4">
        <v>0.84999948740005504</v>
      </c>
      <c r="P19" s="4">
        <v>1.57838535308838</v>
      </c>
      <c r="Q19" s="4">
        <v>0.25273060798644997</v>
      </c>
      <c r="R19" s="4">
        <v>0.99999934434890703</v>
      </c>
      <c r="S19" s="2">
        <v>29.680583953857401</v>
      </c>
      <c r="T19" s="2">
        <v>76.506408691406307</v>
      </c>
      <c r="U19" s="2">
        <v>9.2906531740842109</v>
      </c>
      <c r="V19" s="5">
        <v>667.85694962661296</v>
      </c>
    </row>
    <row r="20" spans="1:22" ht="21" customHeight="1">
      <c r="A20" s="9">
        <v>46067</v>
      </c>
      <c r="B20" s="1">
        <v>1.3299990892410301</v>
      </c>
      <c r="C20" s="1">
        <v>2.3742561340332</v>
      </c>
      <c r="D20" s="1">
        <v>0</v>
      </c>
      <c r="E20" s="1">
        <v>0</v>
      </c>
      <c r="F20" s="1">
        <v>0</v>
      </c>
      <c r="G20" s="1">
        <v>-3.18050384521484E-4</v>
      </c>
      <c r="H20" s="1">
        <v>0</v>
      </c>
      <c r="I20" s="1">
        <v>0</v>
      </c>
      <c r="J20" s="1">
        <v>0</v>
      </c>
      <c r="K20" s="8">
        <f t="shared" si="0"/>
        <v>1.3299990892410301</v>
      </c>
      <c r="L20" s="1">
        <v>1.01387107372284</v>
      </c>
      <c r="M20" s="1">
        <v>1.8490004539489699</v>
      </c>
      <c r="N20" s="1">
        <v>0.397000312805176</v>
      </c>
      <c r="O20" s="1">
        <v>0.85999947786331199</v>
      </c>
      <c r="P20" s="1">
        <v>1.66799020767212</v>
      </c>
      <c r="Q20" s="1">
        <v>0.25210762023925798</v>
      </c>
      <c r="R20" s="1">
        <v>1.00999939441681</v>
      </c>
      <c r="S20" s="1">
        <v>30.4606018066406</v>
      </c>
      <c r="T20" s="1">
        <v>77.632064819335895</v>
      </c>
      <c r="U20" s="1">
        <v>9.3440099832827705</v>
      </c>
      <c r="V20" s="7">
        <v>642.37764126563604</v>
      </c>
    </row>
    <row r="21" spans="1:22" ht="21" customHeight="1">
      <c r="A21" s="12">
        <v>46068</v>
      </c>
      <c r="B21" s="2">
        <v>1.3199990987777701</v>
      </c>
      <c r="C21" s="2">
        <v>1.95156669616699</v>
      </c>
      <c r="D21" s="2">
        <v>0.61267328262329102</v>
      </c>
      <c r="E21" s="2">
        <v>0</v>
      </c>
      <c r="F21" s="2">
        <v>0</v>
      </c>
      <c r="G21" s="2">
        <v>-2.78711318969727E-4</v>
      </c>
      <c r="H21" s="2">
        <v>0</v>
      </c>
      <c r="I21" s="2">
        <v>0</v>
      </c>
      <c r="J21" s="2">
        <v>0</v>
      </c>
      <c r="K21" s="3">
        <f t="shared" si="0"/>
        <v>1.3199990987777701</v>
      </c>
      <c r="L21" s="2">
        <v>1.01151323318481</v>
      </c>
      <c r="M21" s="2">
        <v>1.5620002746582</v>
      </c>
      <c r="N21" s="2">
        <v>0.453000068664551</v>
      </c>
      <c r="O21" s="2">
        <v>0.86999946832656905</v>
      </c>
      <c r="P21" s="2">
        <v>1.7510781288146999</v>
      </c>
      <c r="Q21" s="2">
        <v>0.25197076797485402</v>
      </c>
      <c r="R21" s="2">
        <v>1.00999939441681</v>
      </c>
      <c r="S21" s="2">
        <v>30.020591735839801</v>
      </c>
      <c r="T21" s="2">
        <v>77.092292785644503</v>
      </c>
      <c r="U21" s="2">
        <v>9.3825995632142494</v>
      </c>
      <c r="V21" s="5">
        <v>639.97875323371795</v>
      </c>
    </row>
    <row r="22" spans="1:22" ht="21" customHeight="1">
      <c r="A22" s="9">
        <v>46069</v>
      </c>
      <c r="B22" s="1">
        <v>1.3499990701675399</v>
      </c>
      <c r="C22" s="1">
        <v>1.9942369461059599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8">
        <f t="shared" si="0"/>
        <v>1.3499990701675399</v>
      </c>
      <c r="L22" s="1">
        <v>1.0990868806839</v>
      </c>
      <c r="M22" s="1">
        <v>6.0620002746581996</v>
      </c>
      <c r="N22" s="1">
        <v>0.17600011825561501</v>
      </c>
      <c r="O22" s="1">
        <v>0.879999458789825</v>
      </c>
      <c r="P22" s="1">
        <v>1.7333025932312001</v>
      </c>
      <c r="Q22" s="1">
        <v>0.238066911697388</v>
      </c>
      <c r="R22" s="1">
        <v>1.00999939441681</v>
      </c>
      <c r="S22" s="1">
        <v>30.170595169067401</v>
      </c>
      <c r="T22" s="1">
        <v>75.387977600097699</v>
      </c>
      <c r="U22" s="1">
        <v>9.4031703149054593</v>
      </c>
      <c r="V22" s="7">
        <v>642.80790739079305</v>
      </c>
    </row>
    <row r="23" spans="1:22" ht="21" customHeight="1">
      <c r="A23" s="10">
        <v>46070</v>
      </c>
      <c r="B23" s="4">
        <v>1.3499990701675399</v>
      </c>
      <c r="C23" s="3">
        <v>1.9807662963867201</v>
      </c>
      <c r="D23" s="3">
        <v>0</v>
      </c>
      <c r="E23" s="3">
        <v>0</v>
      </c>
      <c r="F23" s="3">
        <v>0</v>
      </c>
      <c r="G23" s="3">
        <v>-2.6416778564453098E-4</v>
      </c>
      <c r="H23" s="3">
        <v>0</v>
      </c>
      <c r="I23" s="3">
        <v>0</v>
      </c>
      <c r="J23" s="4">
        <v>0</v>
      </c>
      <c r="K23" s="3">
        <f t="shared" si="0"/>
        <v>1.3499990701675399</v>
      </c>
      <c r="L23" s="3">
        <v>1.09843361377716</v>
      </c>
      <c r="M23" s="3">
        <v>5.8310003280639604</v>
      </c>
      <c r="N23" s="4">
        <v>0.269999980926514</v>
      </c>
      <c r="O23" s="4">
        <v>0.97999936342239402</v>
      </c>
      <c r="P23" s="4">
        <v>1.81873083114624</v>
      </c>
      <c r="Q23" s="4">
        <v>0.24011492729187001</v>
      </c>
      <c r="R23" s="4">
        <v>1.04999935626984</v>
      </c>
      <c r="S23" s="2">
        <v>29.540580749511701</v>
      </c>
      <c r="T23" s="2">
        <v>70.918167114257798</v>
      </c>
      <c r="U23" s="2">
        <v>9.3764606572589209</v>
      </c>
      <c r="V23" s="5">
        <v>634.74690107672996</v>
      </c>
    </row>
    <row r="24" spans="1:22" ht="21" customHeight="1">
      <c r="A24" s="9">
        <v>46071</v>
      </c>
      <c r="B24" s="1">
        <v>1.3999990224838299</v>
      </c>
      <c r="C24" s="1">
        <v>1.8930625915527299</v>
      </c>
      <c r="D24" s="1">
        <v>0.73614645004272505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8">
        <f t="shared" si="0"/>
        <v>1.3999990224838299</v>
      </c>
      <c r="L24" s="1">
        <v>1.1050330400466899</v>
      </c>
      <c r="M24" s="1">
        <v>1.5370001792907699</v>
      </c>
      <c r="N24" s="1">
        <v>0.57500028610229503</v>
      </c>
      <c r="O24" s="1">
        <v>1.1199992895126301</v>
      </c>
      <c r="P24" s="1">
        <v>2.1906967163085902</v>
      </c>
      <c r="Q24" s="1">
        <v>0.24986243247985801</v>
      </c>
      <c r="R24" s="1">
        <v>1.08999931812286</v>
      </c>
      <c r="S24" s="1">
        <v>15.860267639160201</v>
      </c>
      <c r="T24" s="1">
        <v>73.9769287109375</v>
      </c>
      <c r="U24" s="1">
        <v>9.3330939951002598</v>
      </c>
      <c r="V24" s="7">
        <v>671.33513059741995</v>
      </c>
    </row>
    <row r="25" spans="1:22" ht="21" customHeight="1">
      <c r="A25" s="12">
        <v>46072</v>
      </c>
      <c r="B25" s="2">
        <v>1.4299989938736</v>
      </c>
      <c r="C25" s="2">
        <v>2.0737009048461901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3">
        <f t="shared" si="0"/>
        <v>1.4299989938736</v>
      </c>
      <c r="L25" s="2">
        <v>1.1432080268859901</v>
      </c>
      <c r="M25" s="2">
        <v>1.6500000953674301</v>
      </c>
      <c r="N25" s="2">
        <v>0.65000009536743197</v>
      </c>
      <c r="O25" s="2">
        <v>1.03999936580658</v>
      </c>
      <c r="P25" s="2">
        <v>1.7391242980957</v>
      </c>
      <c r="Q25" s="2">
        <v>0</v>
      </c>
      <c r="R25" s="2">
        <v>0.53999978303909302</v>
      </c>
      <c r="S25" s="2">
        <v>3.2999973297119101</v>
      </c>
      <c r="T25" s="2">
        <v>72.623832702636705</v>
      </c>
      <c r="U25" s="2">
        <v>9.3266334404458302</v>
      </c>
      <c r="V25" s="5">
        <v>654.33136669209296</v>
      </c>
    </row>
    <row r="26" spans="1:22" ht="21" customHeight="1">
      <c r="A26" s="9">
        <v>46073</v>
      </c>
      <c r="B26" s="1">
        <v>1.45999896526337</v>
      </c>
      <c r="C26" s="1">
        <v>1.7952404022216799</v>
      </c>
      <c r="D26" s="1">
        <v>0.698802471160889</v>
      </c>
      <c r="E26" s="1">
        <v>0</v>
      </c>
      <c r="F26" s="1">
        <v>0</v>
      </c>
      <c r="G26" s="1">
        <v>-3.4284591674804698E-4</v>
      </c>
      <c r="H26" s="1">
        <v>0</v>
      </c>
      <c r="I26" s="1">
        <v>0</v>
      </c>
      <c r="J26" s="1">
        <v>0</v>
      </c>
      <c r="K26" s="8">
        <f t="shared" si="0"/>
        <v>1.45999896526337</v>
      </c>
      <c r="L26" s="1">
        <v>1.1646045446395901</v>
      </c>
      <c r="M26" s="1">
        <v>1.48200035095215</v>
      </c>
      <c r="N26" s="1">
        <v>0.42900037765502902</v>
      </c>
      <c r="O26" s="1">
        <v>1.03999936580658</v>
      </c>
      <c r="P26" s="1">
        <v>1.7241806983947801</v>
      </c>
      <c r="Q26" s="1">
        <v>0.248166799545288</v>
      </c>
      <c r="R26" s="1">
        <v>0.83999949693679798</v>
      </c>
      <c r="S26" s="1">
        <v>1.63999879360199</v>
      </c>
      <c r="T26" s="1">
        <v>74.806884765625</v>
      </c>
      <c r="U26" s="1">
        <v>9.3541796209084804</v>
      </c>
      <c r="V26" s="7">
        <v>683.50084363395297</v>
      </c>
    </row>
    <row r="27" spans="1:22" ht="21" customHeight="1">
      <c r="A27" s="10">
        <v>46074</v>
      </c>
      <c r="B27" s="4">
        <v>1.66999876499176</v>
      </c>
      <c r="C27" s="3">
        <v>2.2248058319091801</v>
      </c>
      <c r="D27" s="3">
        <v>1.14660024642944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0</v>
      </c>
      <c r="K27" s="3">
        <f t="shared" si="0"/>
        <v>1.66999876499176</v>
      </c>
      <c r="L27" s="3">
        <v>1.3466888666153001</v>
      </c>
      <c r="M27" s="3">
        <v>1.83800029754639</v>
      </c>
      <c r="N27" s="4">
        <v>0.95900011062622104</v>
      </c>
      <c r="O27" s="4">
        <v>1.2399991750717201</v>
      </c>
      <c r="P27" s="4">
        <v>2.07542848587036</v>
      </c>
      <c r="Q27" s="4">
        <v>0.43013453483581499</v>
      </c>
      <c r="R27" s="4">
        <v>0.93999940156936601</v>
      </c>
      <c r="S27" s="2">
        <v>20.640377044677699</v>
      </c>
      <c r="T27" s="2">
        <v>80.837318420410199</v>
      </c>
      <c r="U27" s="2">
        <v>9.3985073495192903</v>
      </c>
      <c r="V27" s="5">
        <v>688.69205655647397</v>
      </c>
    </row>
    <row r="28" spans="1:22" ht="21" customHeight="1">
      <c r="A28" s="9">
        <v>46075</v>
      </c>
      <c r="B28" s="1">
        <v>1.62999880313873</v>
      </c>
      <c r="C28" s="1">
        <v>2.0598983764648402</v>
      </c>
      <c r="D28" s="1">
        <v>1.13123226165771</v>
      </c>
      <c r="E28" s="1">
        <v>0</v>
      </c>
      <c r="F28" s="1">
        <v>0</v>
      </c>
      <c r="G28" s="1">
        <v>-4.0936470031738298E-4</v>
      </c>
      <c r="H28" s="1">
        <v>0</v>
      </c>
      <c r="I28" s="1">
        <v>0</v>
      </c>
      <c r="J28" s="1">
        <v>0</v>
      </c>
      <c r="K28" s="8">
        <f t="shared" si="0"/>
        <v>1.62999880313873</v>
      </c>
      <c r="L28" s="1">
        <v>1.34746265411377</v>
      </c>
      <c r="M28" s="1">
        <v>1.7160000801086399</v>
      </c>
      <c r="N28" s="1">
        <v>0.94700002670288097</v>
      </c>
      <c r="O28" s="1">
        <v>1.1999992132186901</v>
      </c>
      <c r="P28" s="1">
        <v>1.92049932479858</v>
      </c>
      <c r="Q28" s="1">
        <v>0.34788465499877902</v>
      </c>
      <c r="R28" s="1">
        <v>0.91999942064285301</v>
      </c>
      <c r="S28" s="1">
        <v>27.210527420043899</v>
      </c>
      <c r="T28" s="1">
        <v>88.633636474609403</v>
      </c>
      <c r="U28" s="1">
        <v>9.31242169200587</v>
      </c>
      <c r="V28" s="7">
        <v>639.88479336439696</v>
      </c>
    </row>
    <row r="29" spans="1:22" ht="21" customHeight="1">
      <c r="A29" s="12">
        <v>46076</v>
      </c>
      <c r="B29" s="2">
        <v>2.1099984645843501</v>
      </c>
      <c r="C29" s="2">
        <v>4.5576410293579102</v>
      </c>
      <c r="D29" s="2">
        <v>0</v>
      </c>
      <c r="E29" s="2">
        <v>0</v>
      </c>
      <c r="F29" s="2">
        <v>15</v>
      </c>
      <c r="G29" s="2">
        <v>-1.6593933105468799E-4</v>
      </c>
      <c r="H29" s="2">
        <v>0.109999984502792</v>
      </c>
      <c r="I29" s="2">
        <v>0.96870970726013195</v>
      </c>
      <c r="J29" s="2">
        <v>0</v>
      </c>
      <c r="K29" s="3">
        <f t="shared" si="0"/>
        <v>2.2199984490871421</v>
      </c>
      <c r="L29" s="2">
        <v>1.7193064689636199</v>
      </c>
      <c r="M29" s="2">
        <v>3.44100046157837</v>
      </c>
      <c r="N29" s="2">
        <v>0</v>
      </c>
      <c r="O29" s="2">
        <v>1.7899986505508401</v>
      </c>
      <c r="P29" s="2">
        <v>12</v>
      </c>
      <c r="Q29" s="2">
        <v>0</v>
      </c>
      <c r="R29" s="2">
        <v>0.80999952554702803</v>
      </c>
      <c r="S29" s="2">
        <v>26.990522384643601</v>
      </c>
      <c r="T29" s="2">
        <v>73.4365234375</v>
      </c>
      <c r="U29" s="2">
        <v>9.2907224698891806</v>
      </c>
      <c r="V29" s="5">
        <v>667.73273118624195</v>
      </c>
    </row>
    <row r="30" spans="1:22" ht="21" customHeight="1">
      <c r="A30" s="9">
        <v>46077</v>
      </c>
      <c r="B30" s="1">
        <v>2.05999851226807</v>
      </c>
      <c r="C30" s="1">
        <v>5.7082147598266602</v>
      </c>
      <c r="D30" s="1">
        <v>0</v>
      </c>
      <c r="E30" s="1">
        <v>0</v>
      </c>
      <c r="F30" s="1">
        <v>5.0544738769531304E-4</v>
      </c>
      <c r="G30" s="1">
        <v>-2.4104118347168001E-4</v>
      </c>
      <c r="H30" s="1">
        <v>0</v>
      </c>
      <c r="I30" s="1">
        <v>5.1152706146240202E-4</v>
      </c>
      <c r="J30" s="1">
        <v>0</v>
      </c>
      <c r="K30" s="8">
        <f t="shared" si="0"/>
        <v>2.05999851226807</v>
      </c>
      <c r="L30" s="1">
        <v>1.59694612026215</v>
      </c>
      <c r="M30" s="1">
        <v>3.6960005760192902</v>
      </c>
      <c r="N30" s="1">
        <v>0.63300037384033203</v>
      </c>
      <c r="O30" s="1">
        <v>1.6099988222122199</v>
      </c>
      <c r="P30" s="1">
        <v>11.5781650543213</v>
      </c>
      <c r="Q30" s="1">
        <v>0</v>
      </c>
      <c r="R30" s="1">
        <v>0.61999970674514804</v>
      </c>
      <c r="S30" s="1">
        <v>22.3104152679443</v>
      </c>
      <c r="T30" s="1">
        <v>87.044738769531307</v>
      </c>
      <c r="U30" s="1">
        <v>9.2657836176936499</v>
      </c>
      <c r="V30" s="7">
        <v>664.35808613600204</v>
      </c>
    </row>
    <row r="31" spans="1:22" ht="21" customHeight="1">
      <c r="A31" s="10">
        <v>46078</v>
      </c>
      <c r="B31" s="4">
        <v>1.63999879360199</v>
      </c>
      <c r="C31" s="3">
        <v>2.0245218276977499</v>
      </c>
      <c r="D31" s="3">
        <v>1.24731397628784</v>
      </c>
      <c r="E31" s="3">
        <v>0</v>
      </c>
      <c r="F31" s="3">
        <v>0</v>
      </c>
      <c r="G31" s="3">
        <v>-2.21490859985352E-4</v>
      </c>
      <c r="H31" s="3">
        <v>0</v>
      </c>
      <c r="I31" s="3">
        <v>0</v>
      </c>
      <c r="J31" s="4">
        <v>0</v>
      </c>
      <c r="K31" s="3">
        <f t="shared" si="0"/>
        <v>1.63999879360199</v>
      </c>
      <c r="L31" s="3">
        <v>1.36458480358124</v>
      </c>
      <c r="M31" s="3">
        <v>1.6310000419616699</v>
      </c>
      <c r="N31" s="4">
        <v>0.933000087738037</v>
      </c>
      <c r="O31" s="4">
        <v>1.2199991941452</v>
      </c>
      <c r="P31" s="4">
        <v>1.8792595863342301</v>
      </c>
      <c r="Q31" s="4">
        <v>0.354689121246338</v>
      </c>
      <c r="R31" s="4">
        <v>0.71999961137771595</v>
      </c>
      <c r="S31" s="2">
        <v>16.990293502807599</v>
      </c>
      <c r="T31" s="2">
        <v>83.278373718261705</v>
      </c>
      <c r="U31" s="2">
        <v>9.3678343098887602</v>
      </c>
      <c r="V31" s="5">
        <v>672.51472393616405</v>
      </c>
    </row>
    <row r="32" spans="1:22" ht="21" customHeight="1">
      <c r="A32" s="9">
        <v>46079</v>
      </c>
      <c r="B32" s="1">
        <v>1.45999896526337</v>
      </c>
      <c r="C32" s="1">
        <v>2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8">
        <f t="shared" si="0"/>
        <v>1.45999896526337</v>
      </c>
      <c r="L32" s="1">
        <v>1.29704201221466</v>
      </c>
      <c r="M32" s="1">
        <v>1.8990001678466799</v>
      </c>
      <c r="N32" s="1">
        <v>0.808000087738037</v>
      </c>
      <c r="O32" s="1">
        <v>1.1899992227554299</v>
      </c>
      <c r="P32" s="1">
        <v>1.8654584884643599</v>
      </c>
      <c r="Q32" s="1">
        <v>0</v>
      </c>
      <c r="R32" s="1">
        <v>0.83999949693679798</v>
      </c>
      <c r="S32" s="1">
        <v>17.850313186645501</v>
      </c>
      <c r="T32" s="1">
        <v>84.060707092285199</v>
      </c>
      <c r="U32" s="1">
        <v>9.26673636834375</v>
      </c>
      <c r="V32" s="7">
        <v>710.08917694253705</v>
      </c>
    </row>
    <row r="33" spans="1:22" ht="21" customHeight="1">
      <c r="A33" s="12">
        <v>46080</v>
      </c>
      <c r="B33" s="2">
        <v>1.2799991369247401</v>
      </c>
      <c r="C33" s="2">
        <v>1.73769283294678</v>
      </c>
      <c r="D33" s="2">
        <v>0.77534294128418002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3">
        <f t="shared" si="0"/>
        <v>1.2799991369247401</v>
      </c>
      <c r="L33" s="2">
        <v>1.3646198511123699</v>
      </c>
      <c r="M33" s="2">
        <v>1.72300004959106</v>
      </c>
      <c r="N33" s="2">
        <v>0.86400032043456998</v>
      </c>
      <c r="O33" s="2">
        <v>1.2299991846084599</v>
      </c>
      <c r="P33" s="2">
        <v>1.91673707962036</v>
      </c>
      <c r="Q33" s="2">
        <v>0</v>
      </c>
      <c r="R33" s="2">
        <v>0.85999947786331199</v>
      </c>
      <c r="S33" s="2">
        <v>16.610284805297901</v>
      </c>
      <c r="T33" s="2">
        <v>81.592849731445298</v>
      </c>
      <c r="U33" s="2">
        <v>9.3478580541789693</v>
      </c>
      <c r="V33" s="5">
        <v>716.20511858889097</v>
      </c>
    </row>
    <row r="34" spans="1:22" ht="21" customHeight="1">
      <c r="A34" s="9"/>
      <c r="B34" s="1"/>
      <c r="C34" s="1"/>
      <c r="D34" s="1"/>
      <c r="E34" s="1"/>
      <c r="F34" s="1"/>
      <c r="G34" s="1"/>
      <c r="H34" s="1"/>
      <c r="I34" s="1"/>
      <c r="J34" s="1"/>
      <c r="K34" s="8" t="str">
        <f t="shared" si="0"/>
        <v/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7"/>
    </row>
    <row r="35" spans="1:22" ht="21" customHeight="1">
      <c r="A35" s="10"/>
      <c r="B35" s="4"/>
      <c r="C35" s="3"/>
      <c r="D35" s="3"/>
      <c r="E35" s="3"/>
      <c r="F35" s="3"/>
      <c r="G35" s="3"/>
      <c r="H35" s="3"/>
      <c r="I35" s="3"/>
      <c r="J35" s="4"/>
      <c r="K35" s="3" t="str">
        <f t="shared" si="0"/>
        <v/>
      </c>
      <c r="L35" s="3"/>
      <c r="M35" s="3"/>
      <c r="N35" s="4"/>
      <c r="O35" s="4"/>
      <c r="P35" s="4"/>
      <c r="Q35" s="4"/>
      <c r="R35" s="4"/>
      <c r="S35" s="2"/>
      <c r="T35" s="2"/>
      <c r="U35" s="2"/>
      <c r="V35" s="5"/>
    </row>
    <row r="36" spans="1:22" ht="21" customHeight="1">
      <c r="A36" s="9"/>
      <c r="B36" s="1"/>
      <c r="C36" s="1"/>
      <c r="D36" s="1"/>
      <c r="E36" s="1"/>
      <c r="F36" s="1"/>
      <c r="G36" s="1"/>
      <c r="H36" s="1"/>
      <c r="I36" s="1"/>
      <c r="J36" s="1"/>
      <c r="K36" s="8" t="str">
        <f t="shared" si="0"/>
        <v/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7"/>
    </row>
    <row r="37" spans="1:22" ht="21" customHeight="1">
      <c r="A37" s="12" t="s">
        <v>20</v>
      </c>
      <c r="B37" s="2">
        <v>1.41999900341034</v>
      </c>
      <c r="C37" s="2">
        <v>2.06347560882568</v>
      </c>
      <c r="D37" s="2">
        <v>0.96282291412353505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3">
        <f t="shared" si="0"/>
        <v>1.41999900341034</v>
      </c>
      <c r="L37" s="2">
        <v>1.10678458213806</v>
      </c>
      <c r="M37" s="2">
        <v>1.6540002822876001</v>
      </c>
      <c r="N37" s="2">
        <v>0.63400030136108398</v>
      </c>
      <c r="O37" s="2">
        <v>0.96999937295913696</v>
      </c>
      <c r="P37" s="2">
        <v>1.8135910034179701</v>
      </c>
      <c r="Q37" s="2">
        <v>0.25921368598937999</v>
      </c>
      <c r="R37" s="2">
        <v>0.99999934434890703</v>
      </c>
      <c r="S37" s="2">
        <v>29.450578689575199</v>
      </c>
      <c r="T37" s="2">
        <v>94.452621459960895</v>
      </c>
      <c r="U37" s="2">
        <v>9.3021511736638498</v>
      </c>
      <c r="V37" s="5">
        <v>687.15969630195696</v>
      </c>
    </row>
  </sheetData>
  <mergeCells count="7">
    <mergeCell ref="A2:T3"/>
    <mergeCell ref="U2:V3"/>
    <mergeCell ref="B5:D5"/>
    <mergeCell ref="E5:G5"/>
    <mergeCell ref="H5:J5"/>
    <mergeCell ref="L5:N5"/>
    <mergeCell ref="O5:Q5"/>
  </mergeCells>
  <printOptions horizontalCentered="1"/>
  <pageMargins left="0.25" right="0.25" top="0.75" bottom="0.75" header="0.3" footer="0.3"/>
  <pageSetup scale="72" orientation="landscape" horizontalDpi="300" verticalDpi="300"/>
  <headerFooter>
    <oddHeader>&amp;LHull WWTF&amp;RPrinted on- &amp;D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37"/>
  <sheetViews>
    <sheetView zoomScale="68" workbookViewId="0"/>
  </sheetViews>
  <sheetFormatPr defaultRowHeight="12"/>
  <cols>
    <col min="1" max="1" width="10.5703125" style="36" customWidth="1"/>
    <col min="2" max="10" width="7" style="24" customWidth="1"/>
    <col min="11" max="11" width="10.85546875" style="24" bestFit="1" customWidth="1"/>
    <col min="12" max="17" width="7" style="24" customWidth="1"/>
    <col min="18" max="18" width="8.5703125" style="19" customWidth="1"/>
    <col min="19" max="19" width="8.42578125" style="19" customWidth="1"/>
    <col min="20" max="20" width="10.42578125" style="19" customWidth="1"/>
    <col min="21" max="21" width="8" style="19" customWidth="1"/>
    <col min="22" max="22" width="7.5703125" style="19" customWidth="1"/>
    <col min="23" max="16384" width="9.140625" style="19"/>
  </cols>
  <sheetData>
    <row r="1" spans="1:22" s="27" customFormat="1" ht="2.25" customHeight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2" ht="18.75" customHeight="1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  <c r="U2" s="48" t="s">
        <v>1</v>
      </c>
      <c r="V2" s="49"/>
    </row>
    <row r="3" spans="1:22" ht="11.25" customHeight="1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  <c r="U3" s="50"/>
      <c r="V3" s="51"/>
    </row>
    <row r="4" spans="1:22" ht="11.25" customHeight="1">
      <c r="A4" s="41"/>
      <c r="B4" s="28"/>
      <c r="C4" s="34"/>
      <c r="D4" s="17"/>
      <c r="E4" s="17"/>
      <c r="F4" s="17"/>
      <c r="G4" s="17"/>
      <c r="H4" s="11"/>
      <c r="I4" s="11"/>
      <c r="J4" s="11"/>
      <c r="K4" s="11"/>
      <c r="L4" s="11"/>
      <c r="M4" s="11"/>
      <c r="N4" s="11"/>
      <c r="O4" s="11"/>
      <c r="P4" s="20"/>
      <c r="Q4" s="20"/>
      <c r="R4" s="37"/>
      <c r="S4" s="23" t="s">
        <v>2</v>
      </c>
      <c r="T4" s="38" t="s">
        <v>2</v>
      </c>
      <c r="U4" s="30"/>
      <c r="V4" s="33"/>
    </row>
    <row r="5" spans="1:22" ht="13.5" customHeight="1">
      <c r="A5" s="25"/>
      <c r="B5" s="52" t="s">
        <v>3</v>
      </c>
      <c r="C5" s="53"/>
      <c r="D5" s="54"/>
      <c r="E5" s="52" t="s">
        <v>4</v>
      </c>
      <c r="F5" s="53"/>
      <c r="G5" s="54"/>
      <c r="H5" s="55" t="s">
        <v>5</v>
      </c>
      <c r="I5" s="55"/>
      <c r="J5" s="55"/>
      <c r="K5" s="16" t="s">
        <v>6</v>
      </c>
      <c r="L5" s="52" t="s">
        <v>7</v>
      </c>
      <c r="M5" s="53"/>
      <c r="N5" s="54"/>
      <c r="O5" s="52" t="s">
        <v>8</v>
      </c>
      <c r="P5" s="53"/>
      <c r="Q5" s="54"/>
      <c r="R5" s="40" t="s">
        <v>9</v>
      </c>
      <c r="S5" s="31" t="s">
        <v>10</v>
      </c>
      <c r="T5" s="18" t="s">
        <v>11</v>
      </c>
      <c r="U5" s="32" t="s">
        <v>12</v>
      </c>
      <c r="V5" s="18" t="s">
        <v>13</v>
      </c>
    </row>
    <row r="6" spans="1:22" s="29" customFormat="1">
      <c r="A6" s="22" t="s">
        <v>14</v>
      </c>
      <c r="B6" s="13" t="s">
        <v>15</v>
      </c>
      <c r="C6" s="14" t="s">
        <v>16</v>
      </c>
      <c r="D6" s="15" t="s">
        <v>17</v>
      </c>
      <c r="E6" s="13" t="s">
        <v>15</v>
      </c>
      <c r="F6" s="14" t="s">
        <v>16</v>
      </c>
      <c r="G6" s="15" t="s">
        <v>17</v>
      </c>
      <c r="H6" s="13" t="s">
        <v>15</v>
      </c>
      <c r="I6" s="14" t="s">
        <v>16</v>
      </c>
      <c r="J6" s="15" t="s">
        <v>17</v>
      </c>
      <c r="K6" s="13" t="s">
        <v>18</v>
      </c>
      <c r="L6" s="39" t="s">
        <v>15</v>
      </c>
      <c r="M6" s="14" t="s">
        <v>16</v>
      </c>
      <c r="N6" s="15" t="s">
        <v>17</v>
      </c>
      <c r="O6" s="13" t="s">
        <v>15</v>
      </c>
      <c r="P6" s="14" t="s">
        <v>16</v>
      </c>
      <c r="Q6" s="15" t="s">
        <v>17</v>
      </c>
      <c r="R6" s="13" t="s">
        <v>15</v>
      </c>
      <c r="S6" s="21" t="s">
        <v>15</v>
      </c>
      <c r="T6" s="21" t="s">
        <v>15</v>
      </c>
      <c r="U6" s="26" t="s">
        <v>19</v>
      </c>
      <c r="V6" s="35" t="s">
        <v>19</v>
      </c>
    </row>
    <row r="7" spans="1:22" ht="21" customHeight="1">
      <c r="A7" s="10">
        <v>46082</v>
      </c>
      <c r="B7" s="4">
        <v>1.5699988603591899</v>
      </c>
      <c r="C7" s="3">
        <v>2.4302062988281299</v>
      </c>
      <c r="D7" s="3">
        <v>0.79441881179809604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0</v>
      </c>
      <c r="K7" s="3">
        <f t="shared" ref="K7:K37" si="0">IF(B7="","",B7+E7+H7)</f>
        <v>1.5699988603591899</v>
      </c>
      <c r="L7" s="3">
        <v>1.5578523874282799</v>
      </c>
      <c r="M7" s="3">
        <v>2.19700050354004</v>
      </c>
      <c r="N7" s="4">
        <v>0.56100034713745095</v>
      </c>
      <c r="O7" s="4">
        <v>1.49999892711639</v>
      </c>
      <c r="P7" s="4">
        <v>2.3499345779418901</v>
      </c>
      <c r="Q7" s="4">
        <v>0.38000440597534202</v>
      </c>
      <c r="R7" s="4">
        <v>0.899999439716339</v>
      </c>
      <c r="S7" s="2">
        <v>15.300254821777299</v>
      </c>
      <c r="T7" s="2">
        <v>96.495941162109403</v>
      </c>
      <c r="U7" s="2">
        <v>9.2918097493836704</v>
      </c>
      <c r="V7" s="5">
        <v>678.02771711824698</v>
      </c>
    </row>
    <row r="8" spans="1:22" ht="21" customHeight="1">
      <c r="A8" s="9">
        <v>46083</v>
      </c>
      <c r="B8" s="1">
        <v>1.3999990224838299</v>
      </c>
      <c r="C8" s="1">
        <v>1.8778152465820299</v>
      </c>
      <c r="D8" s="1">
        <v>0.77554893493652299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8">
        <f t="shared" si="0"/>
        <v>1.3999990224838299</v>
      </c>
      <c r="L8" s="1">
        <v>1.50627601146698</v>
      </c>
      <c r="M8" s="1">
        <v>1.9000000953674301</v>
      </c>
      <c r="N8" s="1">
        <v>0.98800039291381803</v>
      </c>
      <c r="O8" s="1">
        <v>1.33999907970428</v>
      </c>
      <c r="P8" s="1">
        <v>2.0138993263244598</v>
      </c>
      <c r="Q8" s="1">
        <v>0.399436235427856</v>
      </c>
      <c r="R8" s="1">
        <v>0.88999944925308205</v>
      </c>
      <c r="S8" s="1">
        <v>15.220252990722701</v>
      </c>
      <c r="T8" s="1">
        <v>85.797065734863295</v>
      </c>
      <c r="U8" s="1">
        <v>9.3546738505280604</v>
      </c>
      <c r="V8" s="7">
        <v>741.18627259530797</v>
      </c>
    </row>
    <row r="9" spans="1:22" ht="21" customHeight="1">
      <c r="A9" s="12">
        <v>46084</v>
      </c>
      <c r="B9" s="2">
        <v>1</v>
      </c>
      <c r="C9" s="2">
        <v>2</v>
      </c>
      <c r="D9" s="2">
        <v>0.83664512634277299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3">
        <f t="shared" si="0"/>
        <v>1</v>
      </c>
      <c r="L9" s="2">
        <v>1.3929842710495</v>
      </c>
      <c r="M9" s="2">
        <v>1.84800004959106</v>
      </c>
      <c r="N9" s="2">
        <v>0.95000028610229503</v>
      </c>
      <c r="O9" s="2">
        <v>1</v>
      </c>
      <c r="P9" s="2">
        <v>2</v>
      </c>
      <c r="Q9" s="2">
        <v>0</v>
      </c>
      <c r="R9" s="2">
        <v>0</v>
      </c>
      <c r="S9" s="2">
        <v>15</v>
      </c>
      <c r="T9" s="2">
        <v>84.581672668457003</v>
      </c>
      <c r="U9" s="2">
        <v>9.1218954803727801</v>
      </c>
      <c r="V9" s="5">
        <v>677.73781980177296</v>
      </c>
    </row>
    <row r="10" spans="1:22" ht="21" customHeight="1">
      <c r="A10" s="9">
        <v>46085</v>
      </c>
      <c r="B10" s="1">
        <v>2.3199982643127401</v>
      </c>
      <c r="C10" s="1">
        <v>2.7069616317749001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8">
        <f t="shared" si="0"/>
        <v>2.3199982643127401</v>
      </c>
      <c r="L10" s="1">
        <v>1.84495949745178</v>
      </c>
      <c r="M10" s="1">
        <v>2.2170004844665501</v>
      </c>
      <c r="N10" s="1">
        <v>0.569000244140625</v>
      </c>
      <c r="O10" s="1">
        <v>1.8699985742569001</v>
      </c>
      <c r="P10" s="1">
        <v>2.3470406532287602</v>
      </c>
      <c r="Q10" s="1">
        <v>1</v>
      </c>
      <c r="R10" s="1">
        <v>0.93999940156936601</v>
      </c>
      <c r="S10" s="1">
        <v>13.1702060699463</v>
      </c>
      <c r="T10" s="1">
        <v>101.48687744140599</v>
      </c>
      <c r="U10" s="1">
        <v>9.1795999561439707</v>
      </c>
      <c r="V10" s="7">
        <v>667.96554622689905</v>
      </c>
    </row>
    <row r="11" spans="1:22" ht="21" customHeight="1">
      <c r="A11" s="10">
        <v>46086</v>
      </c>
      <c r="B11" s="4">
        <v>2.22999835014343</v>
      </c>
      <c r="C11" s="3">
        <v>3.0983028411865199</v>
      </c>
      <c r="D11" s="3">
        <v>0</v>
      </c>
      <c r="E11" s="3">
        <v>0</v>
      </c>
      <c r="F11" s="3">
        <v>0</v>
      </c>
      <c r="G11" s="3">
        <v>0</v>
      </c>
      <c r="H11" s="3">
        <v>8.9999988675117507E-2</v>
      </c>
      <c r="I11" s="3">
        <v>0.99206519126892101</v>
      </c>
      <c r="J11" s="4">
        <v>0</v>
      </c>
      <c r="K11" s="3">
        <f t="shared" si="0"/>
        <v>2.3199983388185474</v>
      </c>
      <c r="L11" s="3">
        <v>2.0288436412811302</v>
      </c>
      <c r="M11" s="3">
        <v>4.51300048828125</v>
      </c>
      <c r="N11" s="4">
        <v>0</v>
      </c>
      <c r="O11" s="4">
        <v>1.88999855518341</v>
      </c>
      <c r="P11" s="4">
        <v>5.1541576385498002</v>
      </c>
      <c r="Q11" s="4">
        <v>0</v>
      </c>
      <c r="R11" s="4">
        <v>0.899999439716339</v>
      </c>
      <c r="S11" s="2">
        <v>10.320140838623001</v>
      </c>
      <c r="T11" s="2">
        <v>95.1890869140625</v>
      </c>
      <c r="U11" s="2">
        <v>9.3107322379961399</v>
      </c>
      <c r="V11" s="5">
        <v>680.996725172575</v>
      </c>
    </row>
    <row r="12" spans="1:22" ht="21" customHeight="1">
      <c r="A12" s="9">
        <v>46087</v>
      </c>
      <c r="B12" s="1">
        <v>3.1899974346160902</v>
      </c>
      <c r="C12" s="1">
        <v>4.9086027145385698</v>
      </c>
      <c r="D12" s="1">
        <v>2.42860984802246</v>
      </c>
      <c r="E12" s="1">
        <v>0</v>
      </c>
      <c r="F12" s="1">
        <v>0</v>
      </c>
      <c r="G12" s="1">
        <v>-3.4284591674804698E-4</v>
      </c>
      <c r="H12" s="1">
        <v>0.669999659061432</v>
      </c>
      <c r="I12" s="1">
        <v>0.969679355621338</v>
      </c>
      <c r="J12" s="1">
        <v>0</v>
      </c>
      <c r="K12" s="8">
        <f t="shared" si="0"/>
        <v>3.8599970936775221</v>
      </c>
      <c r="L12" s="1">
        <v>2.67762994766235</v>
      </c>
      <c r="M12" s="1">
        <v>3.9610004425048801</v>
      </c>
      <c r="N12" s="1">
        <v>0.56400012969970703</v>
      </c>
      <c r="O12" s="1">
        <v>3.1399974822997998</v>
      </c>
      <c r="P12" s="1">
        <v>5.1464328765869096</v>
      </c>
      <c r="Q12" s="1">
        <v>1.00140476226807</v>
      </c>
      <c r="R12" s="1">
        <v>1.0999993085861199</v>
      </c>
      <c r="S12" s="1">
        <v>5.2800259590148899</v>
      </c>
      <c r="T12" s="1">
        <v>150.62086486816401</v>
      </c>
      <c r="U12" s="1">
        <v>9.3401396067462308</v>
      </c>
      <c r="V12" s="7">
        <v>680.78745505708696</v>
      </c>
    </row>
    <row r="13" spans="1:22" ht="21" customHeight="1">
      <c r="A13" s="12">
        <v>46088</v>
      </c>
      <c r="B13" s="2">
        <v>3.0699975490570099</v>
      </c>
      <c r="C13" s="2">
        <v>4.9360523223876998</v>
      </c>
      <c r="D13" s="2">
        <v>2.5489921569824201</v>
      </c>
      <c r="E13" s="2">
        <v>0</v>
      </c>
      <c r="F13" s="2">
        <v>0</v>
      </c>
      <c r="G13" s="2">
        <v>-2.55346298217773E-4</v>
      </c>
      <c r="H13" s="2">
        <v>0.85999947786331199</v>
      </c>
      <c r="I13" s="2">
        <v>0.96198415756225597</v>
      </c>
      <c r="J13" s="2">
        <v>0</v>
      </c>
      <c r="K13" s="3">
        <f t="shared" si="0"/>
        <v>3.9299970269203222</v>
      </c>
      <c r="L13" s="2">
        <v>3.2918772697448699</v>
      </c>
      <c r="M13" s="2">
        <v>3.9520001411438002</v>
      </c>
      <c r="N13" s="2">
        <v>1.89800024032593</v>
      </c>
      <c r="O13" s="2">
        <v>3.4499971866607702</v>
      </c>
      <c r="P13" s="2">
        <v>5.1462297439575204</v>
      </c>
      <c r="Q13" s="2">
        <v>1.67153215408325</v>
      </c>
      <c r="R13" s="2">
        <v>1.37999904155731</v>
      </c>
      <c r="S13" s="2">
        <v>2.9599976539611799</v>
      </c>
      <c r="T13" s="2">
        <v>149.91410827636699</v>
      </c>
      <c r="U13" s="2">
        <v>9.3072452942806496</v>
      </c>
      <c r="V13" s="5">
        <v>680.05762923335396</v>
      </c>
    </row>
    <row r="14" spans="1:22" ht="21" customHeight="1">
      <c r="A14" s="9">
        <v>46089</v>
      </c>
      <c r="B14" s="1">
        <v>3.8299968242645299</v>
      </c>
      <c r="C14" s="1">
        <v>4.15793800354004</v>
      </c>
      <c r="D14" s="1">
        <v>3.4485645294189502</v>
      </c>
      <c r="E14" s="1">
        <v>0</v>
      </c>
      <c r="F14" s="1">
        <v>0</v>
      </c>
      <c r="G14" s="1">
        <v>0</v>
      </c>
      <c r="H14" s="1">
        <v>0.93999940156936601</v>
      </c>
      <c r="I14" s="1">
        <v>0.95455718040466297</v>
      </c>
      <c r="J14" s="1">
        <v>0.92093777656555198</v>
      </c>
      <c r="K14" s="8">
        <f t="shared" si="0"/>
        <v>4.7699962258338964</v>
      </c>
      <c r="L14" s="1">
        <v>3.9744775295257599</v>
      </c>
      <c r="M14" s="1">
        <v>4.4050006866455096</v>
      </c>
      <c r="N14" s="1">
        <v>3.6690001487731898</v>
      </c>
      <c r="O14" s="1">
        <v>4.3000035285949698</v>
      </c>
      <c r="P14" s="1">
        <v>4.8924331665039098</v>
      </c>
      <c r="Q14" s="1">
        <v>3.6127896308898899</v>
      </c>
      <c r="R14" s="1">
        <v>1.38999903202057</v>
      </c>
      <c r="S14" s="1">
        <v>1.7899986505508401</v>
      </c>
      <c r="T14" s="1">
        <v>203.66581726074199</v>
      </c>
      <c r="U14" s="1">
        <v>9.2720850760561593</v>
      </c>
      <c r="V14" s="7">
        <v>651.76711374439105</v>
      </c>
    </row>
    <row r="15" spans="1:22" ht="21" customHeight="1">
      <c r="A15" s="10">
        <v>46090</v>
      </c>
      <c r="B15" s="4">
        <v>2.8999977111816402</v>
      </c>
      <c r="C15" s="3">
        <v>4.5412168502807599</v>
      </c>
      <c r="D15" s="3">
        <v>2.70495510101318</v>
      </c>
      <c r="E15" s="3">
        <v>0</v>
      </c>
      <c r="F15" s="3">
        <v>0</v>
      </c>
      <c r="G15" s="3">
        <v>-4.4345855712890598E-4</v>
      </c>
      <c r="H15" s="3">
        <v>0.93999940156936601</v>
      </c>
      <c r="I15" s="3">
        <v>0.945881366729736</v>
      </c>
      <c r="J15" s="4">
        <v>0.91670417785644498</v>
      </c>
      <c r="K15" s="3">
        <f t="shared" si="0"/>
        <v>3.8399971127510062</v>
      </c>
      <c r="L15" s="3">
        <v>3.37364602088928</v>
      </c>
      <c r="M15" s="3">
        <v>3.9580001831054701</v>
      </c>
      <c r="N15" s="4">
        <v>2.9720001220703098</v>
      </c>
      <c r="O15" s="4">
        <v>3.3699972629547101</v>
      </c>
      <c r="P15" s="4">
        <v>5.1450242996215803</v>
      </c>
      <c r="Q15" s="4">
        <v>1.7029938697814899</v>
      </c>
      <c r="R15" s="4">
        <v>1.3199990987777701</v>
      </c>
      <c r="S15" s="2">
        <v>2.8199977874755899</v>
      </c>
      <c r="T15" s="2">
        <v>208.17494201660199</v>
      </c>
      <c r="U15" s="2">
        <v>9.2038157846134006</v>
      </c>
      <c r="V15" s="5">
        <v>640.66217477889904</v>
      </c>
    </row>
    <row r="16" spans="1:22" ht="21" customHeight="1">
      <c r="A16" s="9">
        <v>46091</v>
      </c>
      <c r="B16" s="1">
        <v>2.7799978256225599</v>
      </c>
      <c r="C16" s="1">
        <v>5.8496799468994096</v>
      </c>
      <c r="D16" s="1">
        <v>0</v>
      </c>
      <c r="E16" s="1">
        <v>0</v>
      </c>
      <c r="F16" s="1">
        <v>15</v>
      </c>
      <c r="G16" s="1">
        <v>-3.1065940856933599E-4</v>
      </c>
      <c r="H16" s="1">
        <v>0.40999987721443198</v>
      </c>
      <c r="I16" s="1">
        <v>1.0461339950561499</v>
      </c>
      <c r="J16" s="1">
        <v>0</v>
      </c>
      <c r="K16" s="8">
        <f t="shared" si="0"/>
        <v>3.1899977028369921</v>
      </c>
      <c r="L16" s="1">
        <v>2.7089152336120601</v>
      </c>
      <c r="M16" s="1">
        <v>4.80900001525879</v>
      </c>
      <c r="N16" s="1">
        <v>0.65500020980835005</v>
      </c>
      <c r="O16" s="1">
        <v>2.7199978828430198</v>
      </c>
      <c r="P16" s="1">
        <v>12</v>
      </c>
      <c r="Q16" s="1">
        <v>0</v>
      </c>
      <c r="R16" s="1">
        <v>0.94999939203262296</v>
      </c>
      <c r="S16" s="1">
        <v>3.0099976062774698</v>
      </c>
      <c r="T16" s="1">
        <v>144.38981628418</v>
      </c>
      <c r="U16" s="1">
        <v>9.2555616567166297</v>
      </c>
      <c r="V16" s="7">
        <v>648.02446470598602</v>
      </c>
    </row>
    <row r="17" spans="1:22" ht="21" customHeight="1">
      <c r="A17" s="12">
        <v>46092</v>
      </c>
      <c r="B17" s="2">
        <v>2.29999828338623</v>
      </c>
      <c r="C17" s="2">
        <v>2.65692234039307</v>
      </c>
      <c r="D17" s="2">
        <v>1.76489162445068</v>
      </c>
      <c r="E17" s="2">
        <v>0</v>
      </c>
      <c r="F17" s="2">
        <v>0</v>
      </c>
      <c r="G17" s="2">
        <v>-3.44753265380859E-4</v>
      </c>
      <c r="H17" s="2">
        <v>0.459999829530716</v>
      </c>
      <c r="I17" s="2">
        <v>0.46732282638549799</v>
      </c>
      <c r="J17" s="2">
        <v>0.45326995849609403</v>
      </c>
      <c r="K17" s="3">
        <f t="shared" si="0"/>
        <v>2.759998112916946</v>
      </c>
      <c r="L17" s="2">
        <v>2.3060038089752202</v>
      </c>
      <c r="M17" s="2">
        <v>2.6200003623962398</v>
      </c>
      <c r="N17" s="2">
        <v>0.57899999618530296</v>
      </c>
      <c r="O17" s="2">
        <v>2.30999827384949</v>
      </c>
      <c r="P17" s="2">
        <v>5.13739109039307</v>
      </c>
      <c r="Q17" s="2">
        <v>1.62573289871216</v>
      </c>
      <c r="R17" s="2">
        <v>0.62999969720840499</v>
      </c>
      <c r="S17" s="2">
        <v>0.99999934434890703</v>
      </c>
      <c r="T17" s="2">
        <v>119.257217407227</v>
      </c>
      <c r="U17" s="2">
        <v>9.4491629945146602</v>
      </c>
      <c r="V17" s="5">
        <v>644.27114963597796</v>
      </c>
    </row>
    <row r="18" spans="1:22" ht="21" customHeight="1">
      <c r="A18" s="9">
        <v>46093</v>
      </c>
      <c r="B18" s="1">
        <v>2.2899982929229701</v>
      </c>
      <c r="C18" s="1">
        <v>2.7505331039428702</v>
      </c>
      <c r="D18" s="1">
        <v>1.91520118713379</v>
      </c>
      <c r="E18" s="1">
        <v>0</v>
      </c>
      <c r="F18" s="1">
        <v>0</v>
      </c>
      <c r="G18" s="1">
        <v>0</v>
      </c>
      <c r="H18" s="1">
        <v>0.459999829530716</v>
      </c>
      <c r="I18" s="1">
        <v>0.46767139434814498</v>
      </c>
      <c r="J18" s="1">
        <v>0.45146131515502902</v>
      </c>
      <c r="K18" s="8">
        <f t="shared" si="0"/>
        <v>2.749998122453686</v>
      </c>
      <c r="L18" s="1">
        <v>2.2464745044708301</v>
      </c>
      <c r="M18" s="1">
        <v>2.69100046157837</v>
      </c>
      <c r="N18" s="1">
        <v>0.60300016403198198</v>
      </c>
      <c r="O18" s="1">
        <v>2.30999827384949</v>
      </c>
      <c r="P18" s="1">
        <v>5.1308231353759801</v>
      </c>
      <c r="Q18" s="1">
        <v>1.6497654914855999</v>
      </c>
      <c r="R18" s="1">
        <v>1.04999935626984</v>
      </c>
      <c r="S18" s="1">
        <v>0</v>
      </c>
      <c r="T18" s="1">
        <v>119.90676116943401</v>
      </c>
      <c r="U18" s="1">
        <v>9.2405434890784193</v>
      </c>
      <c r="V18" s="7">
        <v>643.94158269631703</v>
      </c>
    </row>
    <row r="19" spans="1:22" ht="21" customHeight="1">
      <c r="A19" s="10">
        <v>46094</v>
      </c>
      <c r="B19" s="4">
        <v>2.1199984550476101</v>
      </c>
      <c r="C19" s="3">
        <v>2.7747449874877899</v>
      </c>
      <c r="D19" s="3">
        <v>0</v>
      </c>
      <c r="E19" s="3">
        <v>0</v>
      </c>
      <c r="F19" s="3">
        <v>0</v>
      </c>
      <c r="G19" s="3">
        <v>-3.2329559326171902E-4</v>
      </c>
      <c r="H19" s="3">
        <v>0.21000002324581099</v>
      </c>
      <c r="I19" s="3">
        <v>0.94207882881164595</v>
      </c>
      <c r="J19" s="4">
        <v>0</v>
      </c>
      <c r="K19" s="3">
        <f t="shared" si="0"/>
        <v>2.3299984782934211</v>
      </c>
      <c r="L19" s="3">
        <v>1.94833767414093</v>
      </c>
      <c r="M19" s="3">
        <v>2.4260001182556201</v>
      </c>
      <c r="N19" s="4">
        <v>0.79200029373168901</v>
      </c>
      <c r="O19" s="4">
        <v>1.8999985456466699</v>
      </c>
      <c r="P19" s="4">
        <v>5.0848922729492196</v>
      </c>
      <c r="Q19" s="4">
        <v>0</v>
      </c>
      <c r="R19" s="4">
        <v>1.3499990701675399</v>
      </c>
      <c r="S19" s="2">
        <v>0</v>
      </c>
      <c r="T19" s="2">
        <v>121.395858764648</v>
      </c>
      <c r="U19" s="2">
        <v>8.6040922908152506</v>
      </c>
      <c r="V19" s="5">
        <v>610.83459203677705</v>
      </c>
    </row>
    <row r="20" spans="1:22" ht="21" customHeight="1">
      <c r="A20" s="9">
        <v>46095</v>
      </c>
      <c r="B20" s="1">
        <v>2.1599984169006299</v>
      </c>
      <c r="C20" s="1">
        <v>2.6493682861328098</v>
      </c>
      <c r="D20" s="1">
        <v>1.7453041076660201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8">
        <f t="shared" si="0"/>
        <v>2.1599984169006299</v>
      </c>
      <c r="L20" s="1">
        <v>1.7884490489959699</v>
      </c>
      <c r="M20" s="1">
        <v>2.1720004081726101</v>
      </c>
      <c r="N20" s="1">
        <v>1.4300003051757799</v>
      </c>
      <c r="O20" s="1">
        <v>1.70999872684479</v>
      </c>
      <c r="P20" s="1">
        <v>2.2413582801818799</v>
      </c>
      <c r="Q20" s="1">
        <v>1.22225666046143</v>
      </c>
      <c r="R20" s="1">
        <v>1.16999924182892</v>
      </c>
      <c r="S20" s="1">
        <v>0</v>
      </c>
      <c r="T20" s="1">
        <v>106.34091949462901</v>
      </c>
      <c r="U20" s="1">
        <v>8.3475765787619007</v>
      </c>
      <c r="V20" s="7">
        <v>612.37805209713201</v>
      </c>
    </row>
    <row r="21" spans="1:22" ht="21" customHeight="1">
      <c r="A21" s="12">
        <v>46096</v>
      </c>
      <c r="B21" s="2">
        <v>1.9799984693527199</v>
      </c>
      <c r="C21" s="2">
        <v>2.4433164596557599</v>
      </c>
      <c r="D21" s="2">
        <v>1.4579114913940401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3">
        <f t="shared" si="0"/>
        <v>1.9799984693527199</v>
      </c>
      <c r="L21" s="2">
        <v>1.61615467071533</v>
      </c>
      <c r="M21" s="2">
        <v>2.00900030136108</v>
      </c>
      <c r="N21" s="2">
        <v>1.1630001068115201</v>
      </c>
      <c r="O21" s="2">
        <v>1.5299988985061601</v>
      </c>
      <c r="P21" s="2">
        <v>2.0735998153686501</v>
      </c>
      <c r="Q21" s="2">
        <v>0.93089127540588401</v>
      </c>
      <c r="R21" s="2">
        <v>0.96999937295913696</v>
      </c>
      <c r="S21" s="2">
        <v>0</v>
      </c>
      <c r="T21" s="2">
        <v>97.508781433105497</v>
      </c>
      <c r="U21" s="2">
        <v>8.1357169969782692</v>
      </c>
      <c r="V21" s="5">
        <v>610.292138943331</v>
      </c>
    </row>
    <row r="22" spans="1:22" ht="21" customHeight="1">
      <c r="A22" s="9">
        <v>46097</v>
      </c>
      <c r="B22" s="1">
        <v>2.3899981975555402</v>
      </c>
      <c r="C22" s="1">
        <v>3.08399486541748</v>
      </c>
      <c r="D22" s="1">
        <v>1</v>
      </c>
      <c r="E22" s="1">
        <v>0</v>
      </c>
      <c r="F22" s="1">
        <v>0</v>
      </c>
      <c r="G22" s="1">
        <v>0</v>
      </c>
      <c r="H22" s="1">
        <v>4.9999997019767803E-2</v>
      </c>
      <c r="I22" s="1">
        <v>0.97938299179077104</v>
      </c>
      <c r="J22" s="1">
        <v>0</v>
      </c>
      <c r="K22" s="8">
        <f t="shared" si="0"/>
        <v>2.439998194575308</v>
      </c>
      <c r="L22" s="1">
        <v>1.84211897850037</v>
      </c>
      <c r="M22" s="1">
        <v>3.25000047683716</v>
      </c>
      <c r="N22" s="1">
        <v>1.1310000419616699</v>
      </c>
      <c r="O22" s="1">
        <v>1.9899984598159799</v>
      </c>
      <c r="P22" s="1">
        <v>5.1634559631347701</v>
      </c>
      <c r="Q22" s="1">
        <v>0</v>
      </c>
      <c r="R22" s="1">
        <v>1.1899992227554299</v>
      </c>
      <c r="S22" s="1">
        <v>0</v>
      </c>
      <c r="T22" s="1">
        <v>110.929039001465</v>
      </c>
      <c r="U22" s="1">
        <v>7.9845423244777498</v>
      </c>
      <c r="V22" s="7">
        <v>636.11443497503296</v>
      </c>
    </row>
    <row r="23" spans="1:22" ht="21" customHeight="1">
      <c r="A23" s="10">
        <v>46098</v>
      </c>
      <c r="B23" s="4">
        <v>2.7699978351593</v>
      </c>
      <c r="C23" s="3">
        <v>5.1038351058959996</v>
      </c>
      <c r="D23" s="3">
        <v>0</v>
      </c>
      <c r="E23" s="3">
        <v>0</v>
      </c>
      <c r="F23" s="3">
        <v>0</v>
      </c>
      <c r="G23" s="3">
        <v>0</v>
      </c>
      <c r="H23" s="3">
        <v>0.57999974489212003</v>
      </c>
      <c r="I23" s="3">
        <v>0.98321294784545898</v>
      </c>
      <c r="J23" s="4">
        <v>0</v>
      </c>
      <c r="K23" s="3">
        <f t="shared" si="0"/>
        <v>3.3499975800514199</v>
      </c>
      <c r="L23" s="3">
        <v>2.8459136486053498</v>
      </c>
      <c r="M23" s="3">
        <v>3.69100046157837</v>
      </c>
      <c r="N23" s="4">
        <v>0.60300016403198198</v>
      </c>
      <c r="O23" s="4">
        <v>2.9099977016449001</v>
      </c>
      <c r="P23" s="4">
        <v>5.1643733978271502</v>
      </c>
      <c r="Q23" s="4">
        <v>1.6318778991699201</v>
      </c>
      <c r="R23" s="4">
        <v>1.2299991846084599</v>
      </c>
      <c r="S23" s="2">
        <v>0</v>
      </c>
      <c r="T23" s="2">
        <v>131.24661254882801</v>
      </c>
      <c r="U23" s="2">
        <v>8.1316849580574093</v>
      </c>
      <c r="V23" s="5">
        <v>651.76009942143401</v>
      </c>
    </row>
    <row r="24" spans="1:22" ht="21" customHeight="1">
      <c r="A24" s="9">
        <v>46099</v>
      </c>
      <c r="B24" s="1">
        <v>2.2799983024597199</v>
      </c>
      <c r="C24" s="1">
        <v>2.7749538421630899</v>
      </c>
      <c r="D24" s="1">
        <v>1.32297611236572</v>
      </c>
      <c r="E24" s="1">
        <v>0</v>
      </c>
      <c r="F24" s="1">
        <v>0</v>
      </c>
      <c r="G24" s="1">
        <v>-5.5599212646484397E-4</v>
      </c>
      <c r="H24" s="1">
        <v>0.270000010728836</v>
      </c>
      <c r="I24" s="1">
        <v>0.92269682884216297</v>
      </c>
      <c r="J24" s="1">
        <v>0</v>
      </c>
      <c r="K24" s="8">
        <f t="shared" si="0"/>
        <v>2.549998313188556</v>
      </c>
      <c r="L24" s="1">
        <v>1.7866798639297501</v>
      </c>
      <c r="M24" s="1">
        <v>2.3420004844665501</v>
      </c>
      <c r="N24" s="1">
        <v>0.55700016021728505</v>
      </c>
      <c r="O24" s="1">
        <v>2.08999848365784</v>
      </c>
      <c r="P24" s="1">
        <v>5.1621046066284197</v>
      </c>
      <c r="Q24" s="1">
        <v>1.6016330718994101</v>
      </c>
      <c r="R24" s="1">
        <v>1.0699993371963501</v>
      </c>
      <c r="S24" s="1">
        <v>12.250185012817401</v>
      </c>
      <c r="T24" s="1">
        <v>134.30868530273401</v>
      </c>
      <c r="U24" s="1">
        <v>8.1342039753580693</v>
      </c>
      <c r="V24" s="7">
        <v>611.43080411482094</v>
      </c>
    </row>
    <row r="25" spans="1:22" ht="21" customHeight="1">
      <c r="A25" s="12">
        <v>46100</v>
      </c>
      <c r="B25" s="2">
        <v>2.3499982357025102</v>
      </c>
      <c r="C25" s="2">
        <v>2.7664632797241202</v>
      </c>
      <c r="D25" s="2">
        <v>0.96610403060913097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3">
        <f t="shared" si="0"/>
        <v>2.3499982357025102</v>
      </c>
      <c r="L25" s="2">
        <v>1.4875910282135001</v>
      </c>
      <c r="M25" s="2">
        <v>2.2700004577636701</v>
      </c>
      <c r="N25" s="2">
        <v>0.522000312805176</v>
      </c>
      <c r="O25" s="2">
        <v>1.84999859333038</v>
      </c>
      <c r="P25" s="2">
        <v>2.1974782943725599</v>
      </c>
      <c r="Q25" s="2">
        <v>0</v>
      </c>
      <c r="R25" s="2">
        <v>1.0299993753433201</v>
      </c>
      <c r="S25" s="2">
        <v>64.225311279296903</v>
      </c>
      <c r="T25" s="2">
        <v>103.609970092773</v>
      </c>
      <c r="U25" s="2">
        <v>8.03721545049968</v>
      </c>
      <c r="V25" s="5">
        <v>650.97186003279796</v>
      </c>
    </row>
    <row r="26" spans="1:22" ht="21" customHeight="1">
      <c r="A26" s="9">
        <v>46101</v>
      </c>
      <c r="B26" s="1">
        <v>2.2099983692169198</v>
      </c>
      <c r="C26" s="1">
        <v>2.4878511428832999</v>
      </c>
      <c r="D26" s="1">
        <v>1.55403327941895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8">
        <f t="shared" si="0"/>
        <v>2.2099983692169198</v>
      </c>
      <c r="L26" s="1">
        <v>1.6305969953537001</v>
      </c>
      <c r="M26" s="1">
        <v>2.0060005187988299</v>
      </c>
      <c r="N26" s="1">
        <v>0.54000043869018599</v>
      </c>
      <c r="O26" s="1">
        <v>1.7299987077712999</v>
      </c>
      <c r="P26" s="1">
        <v>2.2782502174377401</v>
      </c>
      <c r="Q26" s="1">
        <v>1.03790378570557</v>
      </c>
      <c r="R26" s="1">
        <v>1.0999993085861199</v>
      </c>
      <c r="S26" s="1">
        <v>28.360553741455099</v>
      </c>
      <c r="T26" s="1">
        <v>93.3983154296875</v>
      </c>
      <c r="U26" s="1">
        <v>8.2246144993426196</v>
      </c>
      <c r="V26" s="7">
        <v>657.44564346408902</v>
      </c>
    </row>
    <row r="27" spans="1:22" ht="21" customHeight="1">
      <c r="A27" s="10">
        <v>46102</v>
      </c>
      <c r="B27" s="4">
        <v>2.22999835014343</v>
      </c>
      <c r="C27" s="3">
        <v>2.6692581176757799</v>
      </c>
      <c r="D27" s="3">
        <v>1.84307765960693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0</v>
      </c>
      <c r="K27" s="3">
        <f t="shared" si="0"/>
        <v>2.22999835014343</v>
      </c>
      <c r="L27" s="3">
        <v>1.6483852863311801</v>
      </c>
      <c r="M27" s="3">
        <v>2.20100021362305</v>
      </c>
      <c r="N27" s="4">
        <v>0.50900030136108398</v>
      </c>
      <c r="O27" s="4">
        <v>1.7499986886978101</v>
      </c>
      <c r="P27" s="4">
        <v>2.3490462303161599</v>
      </c>
      <c r="Q27" s="4">
        <v>0.98317265510559104</v>
      </c>
      <c r="R27" s="4">
        <v>1.08999931812286</v>
      </c>
      <c r="S27" s="2">
        <v>28.030546188354499</v>
      </c>
      <c r="T27" s="2">
        <v>86.008811950683594</v>
      </c>
      <c r="U27" s="2">
        <v>8.5871363302499901</v>
      </c>
      <c r="V27" s="5">
        <v>713.96047712780705</v>
      </c>
    </row>
    <row r="28" spans="1:22" ht="21" customHeight="1">
      <c r="A28" s="9">
        <v>46103</v>
      </c>
      <c r="B28" s="1">
        <v>2.2199983596801798</v>
      </c>
      <c r="C28" s="1">
        <v>2.5956478118896502</v>
      </c>
      <c r="D28" s="1">
        <v>1.7508125305175799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8">
        <f t="shared" si="0"/>
        <v>2.2199983596801798</v>
      </c>
      <c r="L28" s="1">
        <v>1.4923781156539899</v>
      </c>
      <c r="M28" s="1">
        <v>2.07600021362305</v>
      </c>
      <c r="N28" s="1">
        <v>0.511000156402588</v>
      </c>
      <c r="O28" s="1">
        <v>1.7399986982345601</v>
      </c>
      <c r="P28" s="1">
        <v>2.3436155319213898</v>
      </c>
      <c r="Q28" s="1">
        <v>0.857518911361694</v>
      </c>
      <c r="R28" s="1">
        <v>1.0699993371963501</v>
      </c>
      <c r="S28" s="1">
        <v>28.4105548858643</v>
      </c>
      <c r="T28" s="1">
        <v>110.435348510742</v>
      </c>
      <c r="U28" s="1">
        <v>8.2966700750063307</v>
      </c>
      <c r="V28" s="7">
        <v>707.34420350096605</v>
      </c>
    </row>
    <row r="29" spans="1:22" ht="21" customHeight="1">
      <c r="A29" s="12">
        <v>46104</v>
      </c>
      <c r="B29" s="2">
        <v>2.54999804496765</v>
      </c>
      <c r="C29" s="2">
        <v>2.99598217010498</v>
      </c>
      <c r="D29" s="2">
        <v>2.0771074295043901</v>
      </c>
      <c r="E29" s="2">
        <v>0</v>
      </c>
      <c r="F29" s="2">
        <v>0</v>
      </c>
      <c r="G29" s="2">
        <v>0</v>
      </c>
      <c r="H29" s="2">
        <v>0.58999973535537698</v>
      </c>
      <c r="I29" s="2">
        <v>0.93051314353942904</v>
      </c>
      <c r="J29" s="2">
        <v>0</v>
      </c>
      <c r="K29" s="3">
        <f t="shared" si="0"/>
        <v>3.1399977803230268</v>
      </c>
      <c r="L29" s="2">
        <v>1.9535727500915501</v>
      </c>
      <c r="M29" s="2">
        <v>3.0770001411438002</v>
      </c>
      <c r="N29" s="2">
        <v>0.55300045013427701</v>
      </c>
      <c r="O29" s="2">
        <v>2.6699979305267298</v>
      </c>
      <c r="P29" s="2">
        <v>5.1688461303710902</v>
      </c>
      <c r="Q29" s="2">
        <v>1.25271844863892</v>
      </c>
      <c r="R29" s="2">
        <v>0.98999935388565097</v>
      </c>
      <c r="S29" s="2">
        <v>21.610399246215799</v>
      </c>
      <c r="T29" s="2">
        <v>143.225341796875</v>
      </c>
      <c r="U29" s="2">
        <v>8.1298453948661802</v>
      </c>
      <c r="V29" s="5">
        <v>729.018408228574</v>
      </c>
    </row>
    <row r="30" spans="1:22" ht="21" customHeight="1">
      <c r="A30" s="9">
        <v>46105</v>
      </c>
      <c r="B30" s="1">
        <v>2.3199982643127401</v>
      </c>
      <c r="C30" s="1">
        <v>4.8051261901855504</v>
      </c>
      <c r="D30" s="1">
        <v>0</v>
      </c>
      <c r="E30" s="1">
        <v>0</v>
      </c>
      <c r="F30" s="1">
        <v>0</v>
      </c>
      <c r="G30" s="1">
        <v>-7.13586807250977E-4</v>
      </c>
      <c r="H30" s="1">
        <v>0.72999960184097301</v>
      </c>
      <c r="I30" s="1">
        <v>0.97834682464599598</v>
      </c>
      <c r="J30" s="1">
        <v>0</v>
      </c>
      <c r="K30" s="8">
        <f t="shared" si="0"/>
        <v>3.049997866153713</v>
      </c>
      <c r="L30" s="1">
        <v>1.8158552646637001</v>
      </c>
      <c r="M30" s="1">
        <v>4.1500005722045898</v>
      </c>
      <c r="N30" s="1">
        <v>0.56800031661987305</v>
      </c>
      <c r="O30" s="1">
        <v>2.58999800682068</v>
      </c>
      <c r="P30" s="1">
        <v>5.1618137359619096</v>
      </c>
      <c r="Q30" s="1">
        <v>1.5878095626831099</v>
      </c>
      <c r="R30" s="1">
        <v>0.97999936342239402</v>
      </c>
      <c r="S30" s="1">
        <v>13.19020652771</v>
      </c>
      <c r="T30" s="1">
        <v>146.43470764160199</v>
      </c>
      <c r="U30" s="1">
        <v>8.0124406134813206</v>
      </c>
      <c r="V30" s="7">
        <v>743.42893746482503</v>
      </c>
    </row>
    <row r="31" spans="1:22" ht="21" customHeight="1">
      <c r="A31" s="10">
        <v>46106</v>
      </c>
      <c r="B31" s="4">
        <v>1.5699988603591899</v>
      </c>
      <c r="C31" s="3">
        <v>2.7485885620117201</v>
      </c>
      <c r="D31" s="3">
        <v>1.12961673736572</v>
      </c>
      <c r="E31" s="3">
        <v>0</v>
      </c>
      <c r="F31" s="3">
        <v>0</v>
      </c>
      <c r="G31" s="3">
        <v>-3.93152236938477E-4</v>
      </c>
      <c r="H31" s="3">
        <v>0.84999948740005504</v>
      </c>
      <c r="I31" s="3">
        <v>0.928708076477051</v>
      </c>
      <c r="J31" s="4">
        <v>0</v>
      </c>
      <c r="K31" s="3">
        <f t="shared" si="0"/>
        <v>2.419998347759245</v>
      </c>
      <c r="L31" s="3">
        <v>1.61667060852051</v>
      </c>
      <c r="M31" s="3">
        <v>2.4920001029968302</v>
      </c>
      <c r="N31" s="4">
        <v>0.53800010681152299</v>
      </c>
      <c r="O31" s="4">
        <v>1.9599984884262101</v>
      </c>
      <c r="P31" s="4">
        <v>5.1296634674072301</v>
      </c>
      <c r="Q31" s="4">
        <v>1.2893109321594201</v>
      </c>
      <c r="R31" s="4">
        <v>1.07999932765961</v>
      </c>
      <c r="S31" s="2">
        <v>12.9502010345459</v>
      </c>
      <c r="T31" s="2">
        <v>120.147811889648</v>
      </c>
      <c r="U31" s="2">
        <v>7.9966552401682502</v>
      </c>
      <c r="V31" s="5">
        <v>755.78400383499297</v>
      </c>
    </row>
    <row r="32" spans="1:22" ht="21" customHeight="1">
      <c r="A32" s="9">
        <v>46107</v>
      </c>
      <c r="B32" s="1">
        <v>1.9799984693527199</v>
      </c>
      <c r="C32" s="1">
        <v>2.69554996490479</v>
      </c>
      <c r="D32" s="1">
        <v>0.85597896575927701</v>
      </c>
      <c r="E32" s="1">
        <v>0</v>
      </c>
      <c r="F32" s="1">
        <v>0</v>
      </c>
      <c r="G32" s="1">
        <v>0</v>
      </c>
      <c r="H32" s="1">
        <v>0.260000020265579</v>
      </c>
      <c r="I32" s="1">
        <v>0.92313075065612804</v>
      </c>
      <c r="J32" s="1">
        <v>0</v>
      </c>
      <c r="K32" s="8">
        <f t="shared" si="0"/>
        <v>2.2399984896182987</v>
      </c>
      <c r="L32" s="1">
        <v>1.69004738330841</v>
      </c>
      <c r="M32" s="1">
        <v>2.2360000610351598</v>
      </c>
      <c r="N32" s="1">
        <v>0.53200006484985396</v>
      </c>
      <c r="O32" s="1">
        <v>1.7699986696243299</v>
      </c>
      <c r="P32" s="1">
        <v>5.0595932006835902</v>
      </c>
      <c r="Q32" s="1">
        <v>0.95038580894470204</v>
      </c>
      <c r="R32" s="1">
        <v>1.00999939441681</v>
      </c>
      <c r="S32" s="1">
        <v>13.1802062988281</v>
      </c>
      <c r="T32" s="1">
        <v>105.85740661621099</v>
      </c>
      <c r="U32" s="1">
        <v>8.4244987817171797</v>
      </c>
      <c r="V32" s="7">
        <v>746.59412808713205</v>
      </c>
    </row>
    <row r="33" spans="1:22" ht="21" customHeight="1">
      <c r="A33" s="12">
        <v>46108</v>
      </c>
      <c r="B33" s="2">
        <v>2.1199984550476101</v>
      </c>
      <c r="C33" s="2">
        <v>2.53114891052246</v>
      </c>
      <c r="D33" s="2">
        <v>1.55230140686035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3">
        <f t="shared" si="0"/>
        <v>2.1199984550476101</v>
      </c>
      <c r="L33" s="2">
        <v>1.7030819654464699</v>
      </c>
      <c r="M33" s="2">
        <v>2.0460004806518599</v>
      </c>
      <c r="N33" s="2">
        <v>0.56400012969970703</v>
      </c>
      <c r="O33" s="2">
        <v>1.6199988126754801</v>
      </c>
      <c r="P33" s="2">
        <v>2.3187217712402299</v>
      </c>
      <c r="Q33" s="2">
        <v>0.91907715797424305</v>
      </c>
      <c r="R33" s="2">
        <v>1.0199993848800699</v>
      </c>
      <c r="S33" s="2">
        <v>11.3301639556885</v>
      </c>
      <c r="T33" s="2">
        <v>103.86696624755901</v>
      </c>
      <c r="U33" s="2">
        <v>9.2865395247729108</v>
      </c>
      <c r="V33" s="5">
        <v>672.34066231669897</v>
      </c>
    </row>
    <row r="34" spans="1:22" ht="21" customHeight="1">
      <c r="A34" s="9">
        <v>46109</v>
      </c>
      <c r="B34" s="1">
        <v>1.9799984693527199</v>
      </c>
      <c r="C34" s="1">
        <v>2.4638938903808598</v>
      </c>
      <c r="D34" s="1">
        <v>1.4842767715454099</v>
      </c>
      <c r="E34" s="1">
        <v>0</v>
      </c>
      <c r="F34" s="1">
        <v>0</v>
      </c>
      <c r="G34" s="1">
        <v>-6.7591667175293001E-4</v>
      </c>
      <c r="H34" s="1">
        <v>0</v>
      </c>
      <c r="I34" s="1">
        <v>0</v>
      </c>
      <c r="J34" s="1">
        <v>0</v>
      </c>
      <c r="K34" s="8">
        <f t="shared" si="0"/>
        <v>1.9799984693527199</v>
      </c>
      <c r="L34" s="1">
        <v>1.5877054929733301</v>
      </c>
      <c r="M34" s="1">
        <v>1.9940004348754901</v>
      </c>
      <c r="N34" s="1">
        <v>0.52900028228759799</v>
      </c>
      <c r="O34" s="1">
        <v>1.4899989366531401</v>
      </c>
      <c r="P34" s="1">
        <v>2.2240805625915501</v>
      </c>
      <c r="Q34" s="1">
        <v>0.61698603630065896</v>
      </c>
      <c r="R34" s="1">
        <v>0.96999937295913696</v>
      </c>
      <c r="S34" s="1">
        <v>9.0001106262206996</v>
      </c>
      <c r="T34" s="1">
        <v>95.979072570800795</v>
      </c>
      <c r="U34" s="1">
        <v>9.4049187160515793</v>
      </c>
      <c r="V34" s="7">
        <v>670.49360645074205</v>
      </c>
    </row>
    <row r="35" spans="1:22" ht="21" customHeight="1">
      <c r="A35" s="10">
        <v>46110</v>
      </c>
      <c r="B35" s="4">
        <v>1.9099985361099201</v>
      </c>
      <c r="C35" s="3">
        <v>2.42513847351074</v>
      </c>
      <c r="D35" s="3">
        <v>1.34414482116699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4">
        <v>0</v>
      </c>
      <c r="K35" s="3">
        <f t="shared" si="0"/>
        <v>1.9099985361099201</v>
      </c>
      <c r="L35" s="3">
        <v>1.52768135070801</v>
      </c>
      <c r="M35" s="3">
        <v>1.9570002555847199</v>
      </c>
      <c r="N35" s="4">
        <v>1.00400018692017</v>
      </c>
      <c r="O35" s="4">
        <v>1.41999900341034</v>
      </c>
      <c r="P35" s="4">
        <v>2.1791296005249001</v>
      </c>
      <c r="Q35" s="4">
        <v>0.50130367279052701</v>
      </c>
      <c r="R35" s="4">
        <v>0.86999946832656905</v>
      </c>
      <c r="S35" s="2">
        <v>8.5601005554199201</v>
      </c>
      <c r="T35" s="2">
        <v>95.050689697265597</v>
      </c>
      <c r="U35" s="2">
        <v>9.4998980499622796</v>
      </c>
      <c r="V35" s="5">
        <v>674.07777923308299</v>
      </c>
    </row>
    <row r="36" spans="1:22" ht="21" customHeight="1">
      <c r="A36" s="9">
        <v>46111</v>
      </c>
      <c r="B36" s="1">
        <v>1.7899986505508401</v>
      </c>
      <c r="C36" s="1">
        <v>4.3219757080078098</v>
      </c>
      <c r="D36" s="1">
        <v>0</v>
      </c>
      <c r="E36" s="1">
        <v>0</v>
      </c>
      <c r="F36" s="1">
        <v>0</v>
      </c>
      <c r="G36" s="1">
        <v>-4.80890274047852E-4</v>
      </c>
      <c r="H36" s="1">
        <v>9.9999997764825804E-3</v>
      </c>
      <c r="I36" s="1">
        <v>0.92707753181457497</v>
      </c>
      <c r="J36" s="1">
        <v>0</v>
      </c>
      <c r="K36" s="8">
        <f t="shared" si="0"/>
        <v>1.7999986503273226</v>
      </c>
      <c r="L36" s="1">
        <v>1.4876363277435301</v>
      </c>
      <c r="M36" s="1">
        <v>4.9610004425048801</v>
      </c>
      <c r="N36" s="1">
        <v>0.109000205993652</v>
      </c>
      <c r="O36" s="1">
        <v>1.29999911785126</v>
      </c>
      <c r="P36" s="1">
        <v>5.2770032882690403</v>
      </c>
      <c r="Q36" s="1">
        <v>0.261550903320313</v>
      </c>
      <c r="R36" s="1">
        <v>0.96999937295913696</v>
      </c>
      <c r="S36" s="1">
        <v>8.3500957489013707</v>
      </c>
      <c r="T36" s="1">
        <v>97.766952514648395</v>
      </c>
      <c r="U36" s="1">
        <v>9.5129225434653897</v>
      </c>
      <c r="V36" s="7">
        <v>668.15990684991698</v>
      </c>
    </row>
    <row r="37" spans="1:22" ht="21" customHeight="1">
      <c r="A37" s="12"/>
      <c r="B37" s="2"/>
      <c r="C37" s="2"/>
      <c r="D37" s="2"/>
      <c r="E37" s="2"/>
      <c r="F37" s="2"/>
      <c r="G37" s="2"/>
      <c r="H37" s="2"/>
      <c r="I37" s="2"/>
      <c r="J37" s="2"/>
      <c r="K37" s="3" t="str">
        <f t="shared" si="0"/>
        <v/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5"/>
    </row>
  </sheetData>
  <mergeCells count="7">
    <mergeCell ref="A2:T3"/>
    <mergeCell ref="U2:V3"/>
    <mergeCell ref="B5:D5"/>
    <mergeCell ref="E5:G5"/>
    <mergeCell ref="H5:J5"/>
    <mergeCell ref="L5:N5"/>
    <mergeCell ref="O5:Q5"/>
  </mergeCells>
  <printOptions horizontalCentered="1"/>
  <pageMargins left="0.25" right="0.25" top="0.75" bottom="0.75" header="0.3" footer="0.3"/>
  <pageSetup scale="72" orientation="landscape" horizontalDpi="300" verticalDpi="300"/>
  <headerFooter>
    <oddHeader>&amp;LHull WWTF&amp;RPrinted on- &amp;D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37"/>
  <sheetViews>
    <sheetView workbookViewId="0"/>
  </sheetViews>
  <sheetFormatPr defaultRowHeight="12"/>
  <cols>
    <col min="1" max="1" width="10.5703125" style="36" customWidth="1"/>
    <col min="2" max="10" width="7" style="24" customWidth="1"/>
    <col min="11" max="11" width="10.85546875" style="24" bestFit="1" customWidth="1"/>
    <col min="12" max="17" width="7" style="24" customWidth="1"/>
    <col min="18" max="18" width="8.5703125" style="19" customWidth="1"/>
    <col min="19" max="19" width="8.42578125" style="19" customWidth="1"/>
    <col min="20" max="20" width="10.42578125" style="19" customWidth="1"/>
    <col min="21" max="21" width="8" style="19" customWidth="1"/>
    <col min="22" max="22" width="7.5703125" style="19" customWidth="1"/>
    <col min="23" max="16384" width="9.140625" style="19"/>
  </cols>
  <sheetData>
    <row r="1" spans="1:22" s="27" customFormat="1" ht="2.25" customHeight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2" ht="18.75" customHeight="1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  <c r="U2" s="48" t="s">
        <v>1</v>
      </c>
      <c r="V2" s="49"/>
    </row>
    <row r="3" spans="1:22" ht="11.25" customHeight="1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  <c r="U3" s="50"/>
      <c r="V3" s="51"/>
    </row>
    <row r="4" spans="1:22" ht="11.25" customHeight="1">
      <c r="A4" s="41"/>
      <c r="B4" s="28"/>
      <c r="C4" s="34"/>
      <c r="D4" s="17"/>
      <c r="E4" s="17"/>
      <c r="F4" s="17"/>
      <c r="G4" s="17"/>
      <c r="H4" s="11"/>
      <c r="I4" s="11"/>
      <c r="J4" s="11"/>
      <c r="K4" s="11"/>
      <c r="L4" s="11"/>
      <c r="M4" s="11"/>
      <c r="N4" s="11"/>
      <c r="O4" s="11"/>
      <c r="P4" s="20"/>
      <c r="Q4" s="20"/>
      <c r="R4" s="37"/>
      <c r="S4" s="23" t="s">
        <v>2</v>
      </c>
      <c r="T4" s="38" t="s">
        <v>2</v>
      </c>
      <c r="U4" s="30"/>
      <c r="V4" s="33"/>
    </row>
    <row r="5" spans="1:22" ht="13.5" customHeight="1">
      <c r="A5" s="25"/>
      <c r="B5" s="52" t="s">
        <v>3</v>
      </c>
      <c r="C5" s="53"/>
      <c r="D5" s="54"/>
      <c r="E5" s="52" t="s">
        <v>4</v>
      </c>
      <c r="F5" s="53"/>
      <c r="G5" s="54"/>
      <c r="H5" s="55" t="s">
        <v>5</v>
      </c>
      <c r="I5" s="55"/>
      <c r="J5" s="55"/>
      <c r="K5" s="16" t="s">
        <v>6</v>
      </c>
      <c r="L5" s="52" t="s">
        <v>7</v>
      </c>
      <c r="M5" s="53"/>
      <c r="N5" s="54"/>
      <c r="O5" s="52" t="s">
        <v>8</v>
      </c>
      <c r="P5" s="53"/>
      <c r="Q5" s="54"/>
      <c r="R5" s="40" t="s">
        <v>9</v>
      </c>
      <c r="S5" s="31" t="s">
        <v>10</v>
      </c>
      <c r="T5" s="18" t="s">
        <v>11</v>
      </c>
      <c r="U5" s="32" t="s">
        <v>12</v>
      </c>
      <c r="V5" s="18" t="s">
        <v>13</v>
      </c>
    </row>
    <row r="6" spans="1:22" s="29" customFormat="1">
      <c r="A6" s="22" t="s">
        <v>14</v>
      </c>
      <c r="B6" s="13" t="s">
        <v>15</v>
      </c>
      <c r="C6" s="14" t="s">
        <v>16</v>
      </c>
      <c r="D6" s="15" t="s">
        <v>17</v>
      </c>
      <c r="E6" s="13" t="s">
        <v>15</v>
      </c>
      <c r="F6" s="14" t="s">
        <v>16</v>
      </c>
      <c r="G6" s="15" t="s">
        <v>17</v>
      </c>
      <c r="H6" s="13" t="s">
        <v>15</v>
      </c>
      <c r="I6" s="14" t="s">
        <v>16</v>
      </c>
      <c r="J6" s="15" t="s">
        <v>17</v>
      </c>
      <c r="K6" s="13" t="s">
        <v>18</v>
      </c>
      <c r="L6" s="39" t="s">
        <v>15</v>
      </c>
      <c r="M6" s="14" t="s">
        <v>16</v>
      </c>
      <c r="N6" s="15" t="s">
        <v>17</v>
      </c>
      <c r="O6" s="13" t="s">
        <v>15</v>
      </c>
      <c r="P6" s="14" t="s">
        <v>16</v>
      </c>
      <c r="Q6" s="15" t="s">
        <v>17</v>
      </c>
      <c r="R6" s="13" t="s">
        <v>15</v>
      </c>
      <c r="S6" s="21" t="s">
        <v>15</v>
      </c>
      <c r="T6" s="21" t="s">
        <v>15</v>
      </c>
      <c r="U6" s="26" t="s">
        <v>19</v>
      </c>
      <c r="V6" s="35" t="s">
        <v>19</v>
      </c>
    </row>
    <row r="7" spans="1:22" ht="21" customHeight="1">
      <c r="A7" s="10">
        <v>46113</v>
      </c>
      <c r="B7" s="4">
        <v>1.7699986696243299</v>
      </c>
      <c r="C7" s="3">
        <v>2.0526704788207999</v>
      </c>
      <c r="D7" s="3">
        <v>1.0250840187072801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0</v>
      </c>
      <c r="K7" s="3">
        <f t="shared" ref="K7:K37" si="0">IF(B7="","",B7+E7+H7)</f>
        <v>1.7699986696243299</v>
      </c>
      <c r="L7" s="3">
        <v>1.4253175258636499</v>
      </c>
      <c r="M7" s="3">
        <v>1.67500019073486</v>
      </c>
      <c r="N7" s="4">
        <v>0.67000007629394498</v>
      </c>
      <c r="O7" s="4">
        <v>1.289999127388</v>
      </c>
      <c r="P7" s="4">
        <v>1.78265428543091</v>
      </c>
      <c r="Q7" s="4">
        <v>0.32640171051025402</v>
      </c>
      <c r="R7" s="4">
        <v>1.0699993371963501</v>
      </c>
      <c r="S7" s="2">
        <v>12.2201843261719</v>
      </c>
      <c r="T7" s="2">
        <v>90.191116333007798</v>
      </c>
      <c r="U7" s="2">
        <v>9.6398996876046592</v>
      </c>
      <c r="V7" s="5">
        <v>672.94986600259494</v>
      </c>
    </row>
    <row r="8" spans="1:22" ht="21" customHeight="1">
      <c r="A8" s="9">
        <v>46114</v>
      </c>
      <c r="B8" s="1">
        <v>1.4899989366531401</v>
      </c>
      <c r="C8" s="1">
        <v>2.3535118103027299</v>
      </c>
      <c r="D8" s="1">
        <v>0</v>
      </c>
      <c r="E8" s="1">
        <v>0</v>
      </c>
      <c r="F8" s="1">
        <v>0</v>
      </c>
      <c r="G8" s="1">
        <v>-6.9570541381835905E-4</v>
      </c>
      <c r="H8" s="1">
        <v>0.449999839067459</v>
      </c>
      <c r="I8" s="1">
        <v>0.92752027511596702</v>
      </c>
      <c r="J8" s="1">
        <v>0</v>
      </c>
      <c r="K8" s="8">
        <f t="shared" si="0"/>
        <v>1.939998775720599</v>
      </c>
      <c r="L8" s="1">
        <v>1.5523984432220499</v>
      </c>
      <c r="M8" s="1">
        <v>2.0820002555847199</v>
      </c>
      <c r="N8" s="1">
        <v>0.54300022125244096</v>
      </c>
      <c r="O8" s="1">
        <v>1.45999896526337</v>
      </c>
      <c r="P8" s="1">
        <v>2.1046280860900901</v>
      </c>
      <c r="Q8" s="1">
        <v>0</v>
      </c>
      <c r="R8" s="1">
        <v>1.04999935626984</v>
      </c>
      <c r="S8" s="1">
        <v>13.1802062988281</v>
      </c>
      <c r="T8" s="1">
        <v>91.932525634765597</v>
      </c>
      <c r="U8" s="1">
        <v>9.5525414259422092</v>
      </c>
      <c r="V8" s="7">
        <v>676.765450419942</v>
      </c>
    </row>
    <row r="9" spans="1:22" ht="21" customHeight="1">
      <c r="A9" s="12">
        <v>46115</v>
      </c>
      <c r="B9" s="2">
        <v>1.66999876499176</v>
      </c>
      <c r="C9" s="2">
        <v>2.3523740768432599</v>
      </c>
      <c r="D9" s="2">
        <v>0.49621915817260698</v>
      </c>
      <c r="E9" s="2">
        <v>0</v>
      </c>
      <c r="F9" s="2">
        <v>0</v>
      </c>
      <c r="G9" s="2">
        <v>-6.6518783569335905E-4</v>
      </c>
      <c r="H9" s="2">
        <v>0.28000000119209301</v>
      </c>
      <c r="I9" s="2">
        <v>0.92381286621093806</v>
      </c>
      <c r="J9" s="2">
        <v>0</v>
      </c>
      <c r="K9" s="3">
        <f t="shared" si="0"/>
        <v>1.9499987661838531</v>
      </c>
      <c r="L9" s="2">
        <v>1.5622097253799401</v>
      </c>
      <c r="M9" s="2">
        <v>1.89300012588501</v>
      </c>
      <c r="N9" s="2">
        <v>0.82700014114379905</v>
      </c>
      <c r="O9" s="2">
        <v>1.45999896526337</v>
      </c>
      <c r="P9" s="2">
        <v>2.1021289825439502</v>
      </c>
      <c r="Q9" s="2">
        <v>0.42498970031738298</v>
      </c>
      <c r="R9" s="2">
        <v>0.95999938249588002</v>
      </c>
      <c r="S9" s="2">
        <v>12.260185241699199</v>
      </c>
      <c r="T9" s="2">
        <v>93.366523742675795</v>
      </c>
      <c r="U9" s="2">
        <v>9.4885075991977192</v>
      </c>
      <c r="V9" s="5">
        <v>667.41380245375797</v>
      </c>
    </row>
    <row r="10" spans="1:22" ht="21" customHeight="1">
      <c r="A10" s="9">
        <v>46116</v>
      </c>
      <c r="B10" s="1">
        <v>1.84999859333038</v>
      </c>
      <c r="C10" s="1">
        <v>2.2124195098877002</v>
      </c>
      <c r="D10" s="1">
        <v>1.44218349456787</v>
      </c>
      <c r="E10" s="1">
        <v>0</v>
      </c>
      <c r="F10" s="1">
        <v>0</v>
      </c>
      <c r="G10" s="1">
        <v>-4.2724609375E-4</v>
      </c>
      <c r="H10" s="1">
        <v>0</v>
      </c>
      <c r="I10" s="1">
        <v>0</v>
      </c>
      <c r="J10" s="1">
        <v>0</v>
      </c>
      <c r="K10" s="8">
        <f t="shared" si="0"/>
        <v>1.84999859333038</v>
      </c>
      <c r="L10" s="1">
        <v>1.4958636760711701</v>
      </c>
      <c r="M10" s="1">
        <v>1.7870001792907699</v>
      </c>
      <c r="N10" s="1">
        <v>1.1060004234314</v>
      </c>
      <c r="O10" s="1">
        <v>1.3699990510940601</v>
      </c>
      <c r="P10" s="1">
        <v>1.9251847267150899</v>
      </c>
      <c r="Q10" s="1">
        <v>0.64463353157043501</v>
      </c>
      <c r="R10" s="1">
        <v>0.80999952554702803</v>
      </c>
      <c r="S10" s="1">
        <v>12.5301914215088</v>
      </c>
      <c r="T10" s="1">
        <v>93.046356201171903</v>
      </c>
      <c r="U10" s="1">
        <v>9.7584463862431701</v>
      </c>
      <c r="V10" s="7">
        <v>650.20547105737501</v>
      </c>
    </row>
    <row r="11" spans="1:22" ht="21" customHeight="1">
      <c r="A11" s="10">
        <v>46117</v>
      </c>
      <c r="B11" s="4">
        <v>1.9399985074996899</v>
      </c>
      <c r="C11" s="3">
        <v>2.4266004562377899</v>
      </c>
      <c r="D11" s="3">
        <v>1.2222876548767101</v>
      </c>
      <c r="E11" s="3">
        <v>0</v>
      </c>
      <c r="F11" s="3">
        <v>0</v>
      </c>
      <c r="G11" s="3">
        <v>0</v>
      </c>
      <c r="H11" s="3">
        <v>0</v>
      </c>
      <c r="I11" s="3">
        <v>0.92570185661315896</v>
      </c>
      <c r="J11" s="4">
        <v>0</v>
      </c>
      <c r="K11" s="3">
        <f t="shared" si="0"/>
        <v>1.9399985074996899</v>
      </c>
      <c r="L11" s="3">
        <v>1.5379875898361199</v>
      </c>
      <c r="M11" s="3">
        <v>2.1190004348754901</v>
      </c>
      <c r="N11" s="4">
        <v>0.61199998855590798</v>
      </c>
      <c r="O11" s="4">
        <v>1.45999896526337</v>
      </c>
      <c r="P11" s="4">
        <v>2.11473560333252</v>
      </c>
      <c r="Q11" s="4">
        <v>0.67109727859497104</v>
      </c>
      <c r="R11" s="4">
        <v>0.78999954462051403</v>
      </c>
      <c r="S11" s="2">
        <v>13.1102046966553</v>
      </c>
      <c r="T11" s="2">
        <v>97.505996704101605</v>
      </c>
      <c r="U11" s="2">
        <v>9.7385386714842497</v>
      </c>
      <c r="V11" s="5">
        <v>670.550805426539</v>
      </c>
    </row>
    <row r="12" spans="1:22" ht="21" customHeight="1">
      <c r="A12" s="9">
        <v>46118</v>
      </c>
      <c r="B12" s="1">
        <v>1.8199986219406099</v>
      </c>
      <c r="C12" s="1">
        <v>2.2055816650390598</v>
      </c>
      <c r="D12" s="1">
        <v>1.27872467041016</v>
      </c>
      <c r="E12" s="1">
        <v>0</v>
      </c>
      <c r="F12" s="1">
        <v>0</v>
      </c>
      <c r="G12" s="1">
        <v>-3.93152236938477E-4</v>
      </c>
      <c r="H12" s="1">
        <v>0</v>
      </c>
      <c r="I12" s="1">
        <v>0</v>
      </c>
      <c r="J12" s="1">
        <v>0</v>
      </c>
      <c r="K12" s="8">
        <f t="shared" si="0"/>
        <v>1.8199986219406099</v>
      </c>
      <c r="L12" s="1">
        <v>1.48286032676697</v>
      </c>
      <c r="M12" s="1">
        <v>1.7810001373291</v>
      </c>
      <c r="N12" s="1">
        <v>0.92700004577636697</v>
      </c>
      <c r="O12" s="1">
        <v>1.33999907970428</v>
      </c>
      <c r="P12" s="1">
        <v>1.93791007995605</v>
      </c>
      <c r="Q12" s="1">
        <v>0.45166015625</v>
      </c>
      <c r="R12" s="1">
        <v>0.96999937295913696</v>
      </c>
      <c r="S12" s="1">
        <v>13.0202026367188</v>
      </c>
      <c r="T12" s="1">
        <v>98.880561828613295</v>
      </c>
      <c r="U12" s="1">
        <v>9.9040821929040899</v>
      </c>
      <c r="V12" s="7">
        <v>669.36183248152702</v>
      </c>
    </row>
    <row r="13" spans="1:22" ht="21" customHeight="1">
      <c r="A13" s="12">
        <v>46119</v>
      </c>
      <c r="B13" s="2">
        <v>1.6599987745285001</v>
      </c>
      <c r="C13" s="2">
        <v>2.0029144287109402</v>
      </c>
      <c r="D13" s="2">
        <v>1.2964849472045901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3">
        <f t="shared" si="0"/>
        <v>1.6599987745285001</v>
      </c>
      <c r="L13" s="2">
        <v>1.3332093954086299</v>
      </c>
      <c r="M13" s="2">
        <v>1.5950002670288099</v>
      </c>
      <c r="N13" s="2">
        <v>0.94200038909912098</v>
      </c>
      <c r="O13" s="2">
        <v>1.3299990892410301</v>
      </c>
      <c r="P13" s="2">
        <v>2.25419044494629</v>
      </c>
      <c r="Q13" s="2">
        <v>0.44794225692749001</v>
      </c>
      <c r="R13" s="2">
        <v>0.93999940156936601</v>
      </c>
      <c r="S13" s="2">
        <v>12.0601806640625</v>
      </c>
      <c r="T13" s="2">
        <v>90.209426879882798</v>
      </c>
      <c r="U13" s="2">
        <v>9.9802539479492296</v>
      </c>
      <c r="V13" s="5">
        <v>667.71779812301804</v>
      </c>
    </row>
    <row r="14" spans="1:22" ht="21" customHeight="1">
      <c r="A14" s="9">
        <v>46120</v>
      </c>
      <c r="B14" s="1">
        <v>1.58999884128571</v>
      </c>
      <c r="C14" s="1">
        <v>1.9609012603759799</v>
      </c>
      <c r="D14" s="1">
        <v>1.1881690025329601</v>
      </c>
      <c r="E14" s="1">
        <v>0</v>
      </c>
      <c r="F14" s="1">
        <v>0</v>
      </c>
      <c r="G14" s="1">
        <v>-7.2431564331054698E-4</v>
      </c>
      <c r="H14" s="1">
        <v>0</v>
      </c>
      <c r="I14" s="1">
        <v>0</v>
      </c>
      <c r="J14" s="1">
        <v>0</v>
      </c>
      <c r="K14" s="8">
        <f t="shared" si="0"/>
        <v>1.58999884128571</v>
      </c>
      <c r="L14" s="1">
        <v>1.2475684881210301</v>
      </c>
      <c r="M14" s="1">
        <v>1.5970001220703101</v>
      </c>
      <c r="N14" s="1">
        <v>0.81500005722045898</v>
      </c>
      <c r="O14" s="1">
        <v>1.2199991941452</v>
      </c>
      <c r="P14" s="1">
        <v>2.1805782318115199</v>
      </c>
      <c r="Q14" s="1">
        <v>0.27263188362121599</v>
      </c>
      <c r="R14" s="1">
        <v>0.93999940156936601</v>
      </c>
      <c r="S14" s="1">
        <v>12.9202003479004</v>
      </c>
      <c r="T14" s="1">
        <v>86.740608215332003</v>
      </c>
      <c r="U14" s="1">
        <v>10.211716369923201</v>
      </c>
      <c r="V14" s="7">
        <v>648.89907058599204</v>
      </c>
    </row>
    <row r="15" spans="1:22" ht="21" customHeight="1">
      <c r="A15" s="10">
        <v>46121</v>
      </c>
      <c r="B15" s="4">
        <v>1.3499990701675399</v>
      </c>
      <c r="C15" s="3">
        <v>2.7613544464111301</v>
      </c>
      <c r="D15" s="3">
        <v>0</v>
      </c>
      <c r="E15" s="3">
        <v>0</v>
      </c>
      <c r="F15" s="3">
        <v>0</v>
      </c>
      <c r="G15" s="3">
        <v>0</v>
      </c>
      <c r="H15" s="3">
        <v>0.17000000178813901</v>
      </c>
      <c r="I15" s="3">
        <v>0.92666745185852095</v>
      </c>
      <c r="J15" s="4">
        <v>0</v>
      </c>
      <c r="K15" s="3">
        <f t="shared" si="0"/>
        <v>1.5199990719556791</v>
      </c>
      <c r="L15" s="3">
        <v>1.37727975845337</v>
      </c>
      <c r="M15" s="3">
        <v>5.3550004959106401</v>
      </c>
      <c r="N15" s="4">
        <v>0</v>
      </c>
      <c r="O15" s="4">
        <v>1.0299993753433201</v>
      </c>
      <c r="P15" s="4">
        <v>5.1352920532226598</v>
      </c>
      <c r="Q15" s="4">
        <v>0</v>
      </c>
      <c r="R15" s="4">
        <v>0.79999953508377097</v>
      </c>
      <c r="S15" s="2">
        <v>14.960247039794901</v>
      </c>
      <c r="T15" s="2">
        <v>83.751518249511705</v>
      </c>
      <c r="U15" s="2">
        <v>9.8490380637756694</v>
      </c>
      <c r="V15" s="5">
        <v>678.42504127825896</v>
      </c>
    </row>
    <row r="16" spans="1:22" ht="21" customHeight="1">
      <c r="A16" s="9">
        <v>46122</v>
      </c>
      <c r="B16" s="1">
        <v>1.5299988985061601</v>
      </c>
      <c r="C16" s="1">
        <v>1.9173011779785201</v>
      </c>
      <c r="D16" s="1">
        <v>1.0896868705749501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8">
        <f t="shared" si="0"/>
        <v>1.5299988985061601</v>
      </c>
      <c r="L16" s="1">
        <v>1.1847436428070099</v>
      </c>
      <c r="M16" s="1">
        <v>1.52700042724609</v>
      </c>
      <c r="N16" s="1">
        <v>0.71100044250488303</v>
      </c>
      <c r="O16" s="1">
        <v>1.0199993848800699</v>
      </c>
      <c r="P16" s="1">
        <v>1.6867370605468801</v>
      </c>
      <c r="Q16" s="1">
        <v>0.26215767860412598</v>
      </c>
      <c r="R16" s="1">
        <v>0.91999942064285301</v>
      </c>
      <c r="S16" s="1">
        <v>18.740333557128899</v>
      </c>
      <c r="T16" s="1">
        <v>81.634803771972699</v>
      </c>
      <c r="U16" s="1">
        <v>9.5979362047737595</v>
      </c>
      <c r="V16" s="7">
        <v>655.20796361609098</v>
      </c>
    </row>
    <row r="17" spans="1:22" ht="21" customHeight="1">
      <c r="A17" s="12">
        <v>46123</v>
      </c>
      <c r="B17" s="2">
        <v>1.5399988889694201</v>
      </c>
      <c r="C17" s="2">
        <v>2.0057287216186501</v>
      </c>
      <c r="D17" s="2">
        <v>1.0639905929565401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3">
        <f t="shared" si="0"/>
        <v>1.5399988889694201</v>
      </c>
      <c r="L17" s="2">
        <v>1.18703889846802</v>
      </c>
      <c r="M17" s="2">
        <v>1.60200023651123</v>
      </c>
      <c r="N17" s="2">
        <v>0.683000087738037</v>
      </c>
      <c r="O17" s="2">
        <v>1.0199993848800699</v>
      </c>
      <c r="P17" s="2">
        <v>1.7562780380248999</v>
      </c>
      <c r="Q17" s="2">
        <v>0.257622480392456</v>
      </c>
      <c r="R17" s="2">
        <v>0.899999439716339</v>
      </c>
      <c r="S17" s="2">
        <v>20.840381622314499</v>
      </c>
      <c r="T17" s="2">
        <v>80.963333129882798</v>
      </c>
      <c r="U17" s="2">
        <v>9.6132331987981399</v>
      </c>
      <c r="V17" s="5">
        <v>642.82288038772003</v>
      </c>
    </row>
    <row r="18" spans="1:22" ht="21" customHeight="1">
      <c r="A18" s="9">
        <v>46124</v>
      </c>
      <c r="B18" s="1">
        <v>1.5399988889694201</v>
      </c>
      <c r="C18" s="1">
        <v>1.9842052459716799</v>
      </c>
      <c r="D18" s="1">
        <v>0.99035406112670898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8">
        <f t="shared" si="0"/>
        <v>1.5399988889694201</v>
      </c>
      <c r="L18" s="1">
        <v>1.1762222051620499</v>
      </c>
      <c r="M18" s="1">
        <v>1.6010003089904801</v>
      </c>
      <c r="N18" s="1">
        <v>0.64100027084350597</v>
      </c>
      <c r="O18" s="1">
        <v>1.0199993848800699</v>
      </c>
      <c r="P18" s="1">
        <v>1.77523517608643</v>
      </c>
      <c r="Q18" s="1">
        <v>0.25614547729492199</v>
      </c>
      <c r="R18" s="1">
        <v>0.88999944925308205</v>
      </c>
      <c r="S18" s="1">
        <v>20.5203742980957</v>
      </c>
      <c r="T18" s="1">
        <v>85.498764038085895</v>
      </c>
      <c r="U18" s="1">
        <v>9.6830016063931392</v>
      </c>
      <c r="V18" s="7">
        <v>650.17036986201902</v>
      </c>
    </row>
    <row r="19" spans="1:22" ht="21" customHeight="1">
      <c r="A19" s="10">
        <v>46125</v>
      </c>
      <c r="B19" s="4">
        <v>1.45999896526337</v>
      </c>
      <c r="C19" s="3">
        <v>1.83631992340088</v>
      </c>
      <c r="D19" s="3">
        <v>0.73079252243042003</v>
      </c>
      <c r="E19" s="3">
        <v>0</v>
      </c>
      <c r="F19" s="3">
        <v>0</v>
      </c>
      <c r="G19" s="3">
        <v>-6.25848770141602E-4</v>
      </c>
      <c r="H19" s="3">
        <v>0</v>
      </c>
      <c r="I19" s="3">
        <v>0</v>
      </c>
      <c r="J19" s="4">
        <v>0</v>
      </c>
      <c r="K19" s="3">
        <f t="shared" si="0"/>
        <v>1.45999896526337</v>
      </c>
      <c r="L19" s="3">
        <v>1.1283973455429099</v>
      </c>
      <c r="M19" s="3">
        <v>1.68200016021729</v>
      </c>
      <c r="N19" s="4">
        <v>0.42600011825561501</v>
      </c>
      <c r="O19" s="4">
        <v>0.95999938249588002</v>
      </c>
      <c r="P19" s="4">
        <v>1.6337971687316899</v>
      </c>
      <c r="Q19" s="4">
        <v>0.25565290451049799</v>
      </c>
      <c r="R19" s="4">
        <v>0.899999439716339</v>
      </c>
      <c r="S19" s="2">
        <v>21.410394668579102</v>
      </c>
      <c r="T19" s="2">
        <v>86.866279602050795</v>
      </c>
      <c r="U19" s="2">
        <v>9.5516265553679194</v>
      </c>
      <c r="V19" s="5">
        <v>652.01116981532903</v>
      </c>
    </row>
    <row r="20" spans="1:22" ht="21" customHeight="1">
      <c r="A20" s="9">
        <v>46126</v>
      </c>
      <c r="B20" s="1">
        <v>1.46999895572662</v>
      </c>
      <c r="C20" s="1">
        <v>1.90023994445801</v>
      </c>
      <c r="D20" s="1">
        <v>0.77383518218994096</v>
      </c>
      <c r="E20" s="1">
        <v>0</v>
      </c>
      <c r="F20" s="1">
        <v>0</v>
      </c>
      <c r="G20" s="1">
        <v>-4.04119491577148E-4</v>
      </c>
      <c r="H20" s="1">
        <v>0</v>
      </c>
      <c r="I20" s="1">
        <v>0</v>
      </c>
      <c r="J20" s="1">
        <v>0</v>
      </c>
      <c r="K20" s="8">
        <f t="shared" si="0"/>
        <v>1.46999895572662</v>
      </c>
      <c r="L20" s="1">
        <v>1.1283494234085101</v>
      </c>
      <c r="M20" s="1">
        <v>1.5340003967285201</v>
      </c>
      <c r="N20" s="1">
        <v>0.44800043106079102</v>
      </c>
      <c r="O20" s="1">
        <v>0.95999938249588002</v>
      </c>
      <c r="P20" s="1">
        <v>1.61721992492676</v>
      </c>
      <c r="Q20" s="1">
        <v>0.25193047523498502</v>
      </c>
      <c r="R20" s="1">
        <v>0.899999439716339</v>
      </c>
      <c r="S20" s="1">
        <v>20.950384140014599</v>
      </c>
      <c r="T20" s="1">
        <v>85.569313049316406</v>
      </c>
      <c r="U20" s="1">
        <v>9.6958475908195894</v>
      </c>
      <c r="V20" s="7">
        <v>657.87442799157895</v>
      </c>
    </row>
    <row r="21" spans="1:22" ht="21" customHeight="1">
      <c r="A21" s="12">
        <v>46127</v>
      </c>
      <c r="B21" s="2">
        <v>1.5799988508224501</v>
      </c>
      <c r="C21" s="2">
        <v>1.9949493408203101</v>
      </c>
      <c r="D21" s="2">
        <v>1.09337329864502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3">
        <f t="shared" si="0"/>
        <v>1.5799988508224501</v>
      </c>
      <c r="L21" s="2">
        <v>1.22026407718658</v>
      </c>
      <c r="M21" s="2">
        <v>1.5920004844665501</v>
      </c>
      <c r="N21" s="2">
        <v>0.72900009155273404</v>
      </c>
      <c r="O21" s="2">
        <v>0.879999458789825</v>
      </c>
      <c r="P21" s="2">
        <v>1.6576285362243699</v>
      </c>
      <c r="Q21" s="2">
        <v>0.26291751861572299</v>
      </c>
      <c r="R21" s="2">
        <v>0.88999944925308205</v>
      </c>
      <c r="S21" s="2">
        <v>23.400440216064499</v>
      </c>
      <c r="T21" s="2">
        <v>78.552444458007798</v>
      </c>
      <c r="U21" s="2">
        <v>9.5252668329044106</v>
      </c>
      <c r="V21" s="5">
        <v>664.94651258944498</v>
      </c>
    </row>
    <row r="22" spans="1:22" ht="21" customHeight="1">
      <c r="A22" s="9">
        <v>46128</v>
      </c>
      <c r="B22" s="1">
        <v>1.7399986982345601</v>
      </c>
      <c r="C22" s="1">
        <v>2.1336832046508798</v>
      </c>
      <c r="D22" s="1">
        <v>1.3003997802734399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8">
        <f t="shared" si="0"/>
        <v>1.7399986982345601</v>
      </c>
      <c r="L22" s="1">
        <v>1.3331273794174201</v>
      </c>
      <c r="M22" s="1">
        <v>1.71500015258789</v>
      </c>
      <c r="N22" s="1">
        <v>0.93600034713745095</v>
      </c>
      <c r="O22" s="1">
        <v>1.20999920368195</v>
      </c>
      <c r="P22" s="1">
        <v>2.23779296875</v>
      </c>
      <c r="Q22" s="1">
        <v>0.25596141815185502</v>
      </c>
      <c r="R22" s="1">
        <v>0.96999937295913696</v>
      </c>
      <c r="S22" s="1">
        <v>27.050523757934599</v>
      </c>
      <c r="T22" s="1">
        <v>85.012931823730497</v>
      </c>
      <c r="U22" s="1">
        <v>9.6007624537353298</v>
      </c>
      <c r="V22" s="7">
        <v>671.43849446162199</v>
      </c>
    </row>
    <row r="23" spans="1:22" ht="21" customHeight="1">
      <c r="A23" s="10">
        <v>46129</v>
      </c>
      <c r="B23" s="4">
        <v>1.7899986505508401</v>
      </c>
      <c r="C23" s="3">
        <v>2.2149572372436501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0</v>
      </c>
      <c r="K23" s="3">
        <f t="shared" si="0"/>
        <v>1.7899986505508401</v>
      </c>
      <c r="L23" s="3">
        <v>1.4021247625351001</v>
      </c>
      <c r="M23" s="3">
        <v>1.7710003852844201</v>
      </c>
      <c r="N23" s="4">
        <v>0.69200038909912098</v>
      </c>
      <c r="O23" s="4">
        <v>1.3999990224838299</v>
      </c>
      <c r="P23" s="4">
        <v>4.83426713943481</v>
      </c>
      <c r="Q23" s="4">
        <v>0</v>
      </c>
      <c r="R23" s="4">
        <v>1.00999939441681</v>
      </c>
      <c r="S23" s="2">
        <v>29.790586471557599</v>
      </c>
      <c r="T23" s="2">
        <v>86.365501403808594</v>
      </c>
      <c r="U23" s="2">
        <v>9.6537852602091192</v>
      </c>
      <c r="V23" s="5">
        <v>684.54758290601706</v>
      </c>
    </row>
    <row r="24" spans="1:22" ht="21" customHeight="1">
      <c r="A24" s="9">
        <v>46130</v>
      </c>
      <c r="B24" s="1">
        <v>1.84999859333038</v>
      </c>
      <c r="C24" s="1">
        <v>2.3623199462890598</v>
      </c>
      <c r="D24" s="1">
        <v>1.3206768035888701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8">
        <f t="shared" si="0"/>
        <v>1.84999859333038</v>
      </c>
      <c r="L24" s="1">
        <v>1.4519139528274501</v>
      </c>
      <c r="M24" s="1">
        <v>1.8820004463195801</v>
      </c>
      <c r="N24" s="1">
        <v>0.95600032806396495</v>
      </c>
      <c r="O24" s="1">
        <v>1.289999127388</v>
      </c>
      <c r="P24" s="1">
        <v>1.94759273529053</v>
      </c>
      <c r="Q24" s="1">
        <v>0.37461662292480502</v>
      </c>
      <c r="R24" s="1">
        <v>0.99999934434890703</v>
      </c>
      <c r="S24" s="1">
        <v>27.930543899536101</v>
      </c>
      <c r="T24" s="1">
        <v>84.970130920410199</v>
      </c>
      <c r="U24" s="1">
        <v>9.7802279288773697</v>
      </c>
      <c r="V24" s="7">
        <v>667.05530421380899</v>
      </c>
    </row>
    <row r="25" spans="1:22" ht="21" customHeight="1">
      <c r="A25" s="12">
        <v>46131</v>
      </c>
      <c r="B25" s="2">
        <v>2.00999855995178</v>
      </c>
      <c r="C25" s="2">
        <v>2.4726934432983398</v>
      </c>
      <c r="D25" s="2">
        <v>1.5439338684082</v>
      </c>
      <c r="E25" s="2">
        <v>0</v>
      </c>
      <c r="F25" s="2">
        <v>0</v>
      </c>
      <c r="G25" s="2">
        <v>-5.3095817565918001E-4</v>
      </c>
      <c r="H25" s="2">
        <v>0</v>
      </c>
      <c r="I25" s="2">
        <v>0</v>
      </c>
      <c r="J25" s="2">
        <v>0</v>
      </c>
      <c r="K25" s="3">
        <f t="shared" si="0"/>
        <v>2.00999855995178</v>
      </c>
      <c r="L25" s="2">
        <v>1.5734231472015401</v>
      </c>
      <c r="M25" s="2">
        <v>2.0110001564025901</v>
      </c>
      <c r="N25" s="2">
        <v>0.64600038528442405</v>
      </c>
      <c r="O25" s="2">
        <v>1.45999896526337</v>
      </c>
      <c r="P25" s="2">
        <v>2.0778164863586399</v>
      </c>
      <c r="Q25" s="2">
        <v>0.59608149528503396</v>
      </c>
      <c r="R25" s="2">
        <v>0.96999937295913696</v>
      </c>
      <c r="S25" s="2">
        <v>29.2005729675293</v>
      </c>
      <c r="T25" s="2">
        <v>83.387382507324205</v>
      </c>
      <c r="U25" s="2">
        <v>9.8437414649793702</v>
      </c>
      <c r="V25" s="5">
        <v>674.00345478495296</v>
      </c>
    </row>
    <row r="26" spans="1:22" ht="21" customHeight="1">
      <c r="A26" s="9">
        <v>46132</v>
      </c>
      <c r="B26" s="1">
        <v>1.8599985837936399</v>
      </c>
      <c r="C26" s="1">
        <v>5.3171558380126998</v>
      </c>
      <c r="D26" s="1">
        <v>0</v>
      </c>
      <c r="E26" s="1">
        <v>0</v>
      </c>
      <c r="F26" s="1">
        <v>0</v>
      </c>
      <c r="G26" s="1">
        <v>0</v>
      </c>
      <c r="H26" s="1">
        <v>9.9999997764825804E-3</v>
      </c>
      <c r="I26" s="1">
        <v>0.98733687400817904</v>
      </c>
      <c r="J26" s="1">
        <v>0</v>
      </c>
      <c r="K26" s="8">
        <f t="shared" si="0"/>
        <v>1.8699985835701225</v>
      </c>
      <c r="L26" s="1">
        <v>1.4925775527954099</v>
      </c>
      <c r="M26" s="1">
        <v>3.66500043869019</v>
      </c>
      <c r="N26" s="1">
        <v>7.70001411437988E-2</v>
      </c>
      <c r="O26" s="1">
        <v>1.3199990987777701</v>
      </c>
      <c r="P26" s="1">
        <v>5.1078548431396502</v>
      </c>
      <c r="Q26" s="1">
        <v>0.25544857978820801</v>
      </c>
      <c r="R26" s="1">
        <v>0.92999941110610995</v>
      </c>
      <c r="S26" s="1">
        <v>29.1805725097656</v>
      </c>
      <c r="T26" s="1">
        <v>84.787918090820298</v>
      </c>
      <c r="U26" s="1">
        <v>9.8875772361543302</v>
      </c>
      <c r="V26" s="7">
        <v>681.07622413025501</v>
      </c>
    </row>
    <row r="27" spans="1:22" ht="21" customHeight="1">
      <c r="A27" s="10">
        <v>46133</v>
      </c>
      <c r="B27" s="4">
        <v>1.63999879360199</v>
      </c>
      <c r="C27" s="3">
        <v>4.8586454391479501</v>
      </c>
      <c r="D27" s="3">
        <v>0</v>
      </c>
      <c r="E27" s="3">
        <v>0</v>
      </c>
      <c r="F27" s="3">
        <v>0</v>
      </c>
      <c r="G27" s="3">
        <v>0</v>
      </c>
      <c r="H27" s="3">
        <v>2.9999999329447701E-2</v>
      </c>
      <c r="I27" s="3">
        <v>0.99986457824706998</v>
      </c>
      <c r="J27" s="4">
        <v>0</v>
      </c>
      <c r="K27" s="3">
        <f t="shared" si="0"/>
        <v>1.6699987929314377</v>
      </c>
      <c r="L27" s="3">
        <v>1.63268423080444</v>
      </c>
      <c r="M27" s="3">
        <v>3.9340004920959499</v>
      </c>
      <c r="N27" s="4">
        <v>0</v>
      </c>
      <c r="O27" s="4">
        <v>1.2199991941452</v>
      </c>
      <c r="P27" s="4">
        <v>5.1690158843994096</v>
      </c>
      <c r="Q27" s="4">
        <v>0</v>
      </c>
      <c r="R27" s="4">
        <v>0.69999963045120195</v>
      </c>
      <c r="S27" s="2">
        <v>23.730447769165</v>
      </c>
      <c r="T27" s="2">
        <v>83.7410888671875</v>
      </c>
      <c r="U27" s="2">
        <v>9.9848451915923899</v>
      </c>
      <c r="V27" s="5">
        <v>647.00974798036805</v>
      </c>
    </row>
    <row r="28" spans="1:22" ht="21" customHeight="1">
      <c r="A28" s="9">
        <v>46134</v>
      </c>
      <c r="B28" s="1">
        <v>1.63999879360199</v>
      </c>
      <c r="C28" s="1">
        <v>4.2895250320434597</v>
      </c>
      <c r="D28" s="1">
        <v>0</v>
      </c>
      <c r="E28" s="1">
        <v>0</v>
      </c>
      <c r="F28" s="1">
        <v>0</v>
      </c>
      <c r="G28" s="1">
        <v>0</v>
      </c>
      <c r="H28" s="1">
        <v>1.9999999552965199E-2</v>
      </c>
      <c r="I28" s="1">
        <v>1.00503373146057</v>
      </c>
      <c r="J28" s="1">
        <v>0</v>
      </c>
      <c r="K28" s="8">
        <f t="shared" si="0"/>
        <v>1.6599987931549551</v>
      </c>
      <c r="L28" s="1">
        <v>1.2774504423141499</v>
      </c>
      <c r="M28" s="1">
        <v>2.6460003852844198</v>
      </c>
      <c r="N28" s="1">
        <v>0.29300022125244102</v>
      </c>
      <c r="O28" s="1">
        <v>1.1199992895126301</v>
      </c>
      <c r="P28" s="1">
        <v>2.0236725807189901</v>
      </c>
      <c r="Q28" s="1">
        <v>0.25871515274047902</v>
      </c>
      <c r="R28" s="1">
        <v>0.90999943017959595</v>
      </c>
      <c r="S28" s="1">
        <v>31.220619201660199</v>
      </c>
      <c r="T28" s="1">
        <v>78.201362609863295</v>
      </c>
      <c r="U28" s="1">
        <v>9.8469644968007692</v>
      </c>
      <c r="V28" s="7">
        <v>675.16461550651002</v>
      </c>
    </row>
    <row r="29" spans="1:22" ht="21" customHeight="1">
      <c r="A29" s="12">
        <v>46135</v>
      </c>
      <c r="B29" s="2">
        <v>1.6499987840652499</v>
      </c>
      <c r="C29" s="2">
        <v>2.0643482208252002</v>
      </c>
      <c r="D29" s="2">
        <v>0.48878431320190402</v>
      </c>
      <c r="E29" s="2">
        <v>0</v>
      </c>
      <c r="F29" s="2">
        <v>0</v>
      </c>
      <c r="G29" s="2">
        <v>-4.04119491577148E-4</v>
      </c>
      <c r="H29" s="2">
        <v>0</v>
      </c>
      <c r="I29" s="2">
        <v>0</v>
      </c>
      <c r="J29" s="2">
        <v>0</v>
      </c>
      <c r="K29" s="3">
        <f t="shared" si="0"/>
        <v>1.6499987840652499</v>
      </c>
      <c r="L29" s="2">
        <v>1.26175165176392</v>
      </c>
      <c r="M29" s="2">
        <v>1.64800024032593</v>
      </c>
      <c r="N29" s="2">
        <v>0.75600004196167003</v>
      </c>
      <c r="O29" s="2">
        <v>1.0999993085861199</v>
      </c>
      <c r="P29" s="2">
        <v>1.76605224609375</v>
      </c>
      <c r="Q29" s="2">
        <v>0</v>
      </c>
      <c r="R29" s="2">
        <v>0.85999947786331199</v>
      </c>
      <c r="S29" s="2">
        <v>31.050615310668899</v>
      </c>
      <c r="T29" s="2">
        <v>80.029861450195298</v>
      </c>
      <c r="U29" s="2">
        <v>9.8151745733243896</v>
      </c>
      <c r="V29" s="5">
        <v>670.64062525449003</v>
      </c>
    </row>
    <row r="30" spans="1:22" ht="21" customHeight="1">
      <c r="A30" s="9">
        <v>46136</v>
      </c>
      <c r="B30" s="1">
        <v>1.6499987840652499</v>
      </c>
      <c r="C30" s="1">
        <v>2.06718826293945</v>
      </c>
      <c r="D30" s="1">
        <v>1.16318464279175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8">
        <f t="shared" si="0"/>
        <v>1.6499987840652499</v>
      </c>
      <c r="L30" s="1">
        <v>1.2747896909713701</v>
      </c>
      <c r="M30" s="1">
        <v>1.64300012588501</v>
      </c>
      <c r="N30" s="1">
        <v>0.77100038528442405</v>
      </c>
      <c r="O30" s="1">
        <v>1.1099992990493801</v>
      </c>
      <c r="P30" s="1">
        <v>1.80762386322021</v>
      </c>
      <c r="Q30" s="1">
        <v>0.264544486999512</v>
      </c>
      <c r="R30" s="1">
        <v>0.83999949693679798</v>
      </c>
      <c r="S30" s="1">
        <v>31.830633163452099</v>
      </c>
      <c r="T30" s="1">
        <v>81.325981140136705</v>
      </c>
      <c r="U30" s="1">
        <v>9.69938629215339</v>
      </c>
      <c r="V30" s="7">
        <v>689.44191582356996</v>
      </c>
    </row>
    <row r="31" spans="1:22" ht="21" customHeight="1">
      <c r="A31" s="10">
        <v>46137</v>
      </c>
      <c r="B31" s="4">
        <v>1.6199988126754801</v>
      </c>
      <c r="C31" s="3">
        <v>2.1107978820800799</v>
      </c>
      <c r="D31" s="3">
        <v>1.1201739311218299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4">
        <v>0</v>
      </c>
      <c r="K31" s="3">
        <f t="shared" si="0"/>
        <v>1.6199988126754801</v>
      </c>
      <c r="L31" s="3">
        <v>1.25549292564392</v>
      </c>
      <c r="M31" s="3">
        <v>1.6980004310607899</v>
      </c>
      <c r="N31" s="4">
        <v>0.72100019454956099</v>
      </c>
      <c r="O31" s="4">
        <v>1.0699993371963501</v>
      </c>
      <c r="P31" s="4">
        <v>1.8216571807861299</v>
      </c>
      <c r="Q31" s="4">
        <v>0.25334477424621599</v>
      </c>
      <c r="R31" s="4">
        <v>0.85999947786331199</v>
      </c>
      <c r="S31" s="2">
        <v>31.2506198883057</v>
      </c>
      <c r="T31" s="2">
        <v>78.226127624511705</v>
      </c>
      <c r="U31" s="2">
        <v>9.6186813655373395</v>
      </c>
      <c r="V31" s="5">
        <v>722.86232644638505</v>
      </c>
    </row>
    <row r="32" spans="1:22" ht="21" customHeight="1">
      <c r="A32" s="9">
        <v>46138</v>
      </c>
      <c r="B32" s="1">
        <v>1.6199988126754801</v>
      </c>
      <c r="C32" s="1">
        <v>2.1813373565673801</v>
      </c>
      <c r="D32" s="1">
        <v>1.092200756073</v>
      </c>
      <c r="E32" s="1">
        <v>0</v>
      </c>
      <c r="F32" s="1">
        <v>0</v>
      </c>
      <c r="G32" s="1">
        <v>-7.2431564331054698E-4</v>
      </c>
      <c r="H32" s="1">
        <v>0</v>
      </c>
      <c r="I32" s="1">
        <v>0</v>
      </c>
      <c r="J32" s="1">
        <v>0</v>
      </c>
      <c r="K32" s="8">
        <f t="shared" si="0"/>
        <v>1.6199988126754801</v>
      </c>
      <c r="L32" s="1">
        <v>1.2415800094604501</v>
      </c>
      <c r="M32" s="1">
        <v>1.7350001335144001</v>
      </c>
      <c r="N32" s="1">
        <v>0.71900033950805697</v>
      </c>
      <c r="O32" s="1">
        <v>1.07999932765961</v>
      </c>
      <c r="P32" s="1">
        <v>1.86350440979004</v>
      </c>
      <c r="Q32" s="1">
        <v>0.25330185890197798</v>
      </c>
      <c r="R32" s="1">
        <v>0.86999946832656905</v>
      </c>
      <c r="S32" s="1">
        <v>31.150617599487301</v>
      </c>
      <c r="T32" s="1">
        <v>85.850013732910199</v>
      </c>
      <c r="U32" s="1">
        <v>9.8549393278762203</v>
      </c>
      <c r="V32" s="7">
        <v>664.83566053018001</v>
      </c>
    </row>
    <row r="33" spans="1:22" ht="21" customHeight="1">
      <c r="A33" s="12">
        <v>46139</v>
      </c>
      <c r="B33" s="2">
        <v>1.54999887943268</v>
      </c>
      <c r="C33" s="2">
        <v>1.99678611755371</v>
      </c>
      <c r="D33" s="2">
        <v>0.720811367034912</v>
      </c>
      <c r="E33" s="2">
        <v>0</v>
      </c>
      <c r="F33" s="2">
        <v>0</v>
      </c>
      <c r="G33" s="2">
        <v>-4.0745735168456999E-4</v>
      </c>
      <c r="H33" s="2">
        <v>0</v>
      </c>
      <c r="I33" s="2">
        <v>0</v>
      </c>
      <c r="J33" s="2">
        <v>0</v>
      </c>
      <c r="K33" s="3">
        <f t="shared" si="0"/>
        <v>1.54999887943268</v>
      </c>
      <c r="L33" s="2">
        <v>1.2023352384567301</v>
      </c>
      <c r="M33" s="2">
        <v>1.6000003814697299</v>
      </c>
      <c r="N33" s="2">
        <v>0.39300012588500999</v>
      </c>
      <c r="O33" s="2">
        <v>0.99999934434890703</v>
      </c>
      <c r="P33" s="2">
        <v>1.72115135192871</v>
      </c>
      <c r="Q33" s="2">
        <v>0.2528076171875</v>
      </c>
      <c r="R33" s="2">
        <v>0.83999949693679798</v>
      </c>
      <c r="S33" s="2">
        <v>31.500625610351602</v>
      </c>
      <c r="T33" s="2">
        <v>87.166748046875</v>
      </c>
      <c r="U33" s="2">
        <v>9.69813801266403</v>
      </c>
      <c r="V33" s="5">
        <v>671.10532241831902</v>
      </c>
    </row>
    <row r="34" spans="1:22" ht="21" customHeight="1">
      <c r="A34" s="9">
        <v>46140</v>
      </c>
      <c r="B34" s="1">
        <v>1.5399988889694201</v>
      </c>
      <c r="C34" s="1">
        <v>4.2115736007690403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0.95684337615966797</v>
      </c>
      <c r="J34" s="1">
        <v>0</v>
      </c>
      <c r="K34" s="8">
        <f t="shared" si="0"/>
        <v>1.5399988889694201</v>
      </c>
      <c r="L34" s="1">
        <v>1.2150193452835101</v>
      </c>
      <c r="M34" s="1">
        <v>4.1670007705688503</v>
      </c>
      <c r="N34" s="1">
        <v>0.14300012588500999</v>
      </c>
      <c r="O34" s="1">
        <v>1.00999939441681</v>
      </c>
      <c r="P34" s="1">
        <v>2.0070676803588898</v>
      </c>
      <c r="Q34" s="1">
        <v>0</v>
      </c>
      <c r="R34" s="1">
        <v>0.81999951601028398</v>
      </c>
      <c r="S34" s="1">
        <v>30.750608444213899</v>
      </c>
      <c r="T34" s="1">
        <v>79.902252197265597</v>
      </c>
      <c r="U34" s="1">
        <v>9.81232670589484</v>
      </c>
      <c r="V34" s="7">
        <v>662.72955733690901</v>
      </c>
    </row>
    <row r="35" spans="1:22" ht="21" customHeight="1">
      <c r="A35" s="10">
        <v>46141</v>
      </c>
      <c r="B35" s="4">
        <v>1.6099988222122199</v>
      </c>
      <c r="C35" s="3">
        <v>2.0349788665771502</v>
      </c>
      <c r="D35" s="3">
        <v>0.753825664520264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4">
        <v>0</v>
      </c>
      <c r="K35" s="3">
        <f t="shared" si="0"/>
        <v>1.6099988222122199</v>
      </c>
      <c r="L35" s="3">
        <v>1.2624304294586199</v>
      </c>
      <c r="M35" s="3">
        <v>1.63000011444092</v>
      </c>
      <c r="N35" s="4">
        <v>0.42000007629394498</v>
      </c>
      <c r="O35" s="4">
        <v>1.0699993371963501</v>
      </c>
      <c r="P35" s="4">
        <v>5.1227073669433603</v>
      </c>
      <c r="Q35" s="4">
        <v>0.26254606246948198</v>
      </c>
      <c r="R35" s="4">
        <v>0.72999960184097301</v>
      </c>
      <c r="S35" s="2">
        <v>31.380622863769499</v>
      </c>
      <c r="T35" s="2">
        <v>79.587181091308594</v>
      </c>
      <c r="U35" s="2">
        <v>9.7628227055611294</v>
      </c>
      <c r="V35" s="5">
        <v>679.97347087210596</v>
      </c>
    </row>
    <row r="36" spans="1:22" ht="21" customHeight="1">
      <c r="A36" s="9"/>
      <c r="B36" s="1"/>
      <c r="C36" s="1"/>
      <c r="D36" s="1"/>
      <c r="E36" s="1"/>
      <c r="F36" s="1"/>
      <c r="G36" s="1"/>
      <c r="H36" s="1"/>
      <c r="I36" s="1"/>
      <c r="J36" s="1"/>
      <c r="K36" s="8" t="str">
        <f t="shared" si="0"/>
        <v/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7"/>
    </row>
    <row r="37" spans="1:22" ht="21" customHeight="1">
      <c r="A37" s="12" t="s">
        <v>21</v>
      </c>
      <c r="B37" s="2">
        <v>1.7699986696243299</v>
      </c>
      <c r="C37" s="2">
        <v>4.2142715454101598</v>
      </c>
      <c r="D37" s="2">
        <v>0</v>
      </c>
      <c r="E37" s="2">
        <v>0</v>
      </c>
      <c r="F37" s="2">
        <v>0</v>
      </c>
      <c r="G37" s="2">
        <v>-5.6505203247070302E-4</v>
      </c>
      <c r="H37" s="2">
        <v>0</v>
      </c>
      <c r="I37" s="2">
        <v>1.0205938816070601</v>
      </c>
      <c r="J37" s="2">
        <v>0</v>
      </c>
      <c r="K37" s="3">
        <f t="shared" si="0"/>
        <v>1.7699986696243299</v>
      </c>
      <c r="L37" s="2">
        <v>1.44077336788177</v>
      </c>
      <c r="M37" s="2">
        <v>4.5200004577636701</v>
      </c>
      <c r="N37" s="2">
        <v>0.10200023651123</v>
      </c>
      <c r="O37" s="2">
        <v>1.289999127388</v>
      </c>
      <c r="P37" s="2">
        <v>2.2203097343444802</v>
      </c>
      <c r="Q37" s="2">
        <v>0.25747418403625499</v>
      </c>
      <c r="R37" s="2">
        <v>1.0699993371963501</v>
      </c>
      <c r="S37" s="2">
        <v>8.9601097106933594</v>
      </c>
      <c r="T37" s="2">
        <v>89.660690307617202</v>
      </c>
      <c r="U37" s="2">
        <v>9.5272792142824301</v>
      </c>
      <c r="V37" s="5">
        <v>675.60555985737699</v>
      </c>
    </row>
  </sheetData>
  <mergeCells count="7">
    <mergeCell ref="A2:T3"/>
    <mergeCell ref="U2:V3"/>
    <mergeCell ref="B5:D5"/>
    <mergeCell ref="E5:G5"/>
    <mergeCell ref="H5:J5"/>
    <mergeCell ref="L5:N5"/>
    <mergeCell ref="O5:Q5"/>
  </mergeCells>
  <printOptions horizontalCentered="1"/>
  <pageMargins left="0.25" right="0.25" top="0.75" bottom="0.75" header="0.3" footer="0.3"/>
  <pageSetup scale="72" orientation="landscape" horizontalDpi="300" verticalDpi="300"/>
  <headerFooter>
    <oddHeader>&amp;LHull WWTF&amp;RPrinted on- &amp;D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37"/>
  <sheetViews>
    <sheetView workbookViewId="0"/>
  </sheetViews>
  <sheetFormatPr defaultRowHeight="12"/>
  <cols>
    <col min="1" max="1" width="10.5703125" style="36" customWidth="1"/>
    <col min="2" max="10" width="7" style="24" customWidth="1"/>
    <col min="11" max="11" width="10.85546875" style="24" bestFit="1" customWidth="1"/>
    <col min="12" max="17" width="7" style="24" customWidth="1"/>
    <col min="18" max="18" width="8.5703125" style="19" customWidth="1"/>
    <col min="19" max="19" width="8.42578125" style="19" customWidth="1"/>
    <col min="20" max="20" width="10.42578125" style="19" customWidth="1"/>
    <col min="21" max="21" width="8" style="19" customWidth="1"/>
    <col min="22" max="22" width="7.5703125" style="19" customWidth="1"/>
    <col min="23" max="16384" width="9.140625" style="19"/>
  </cols>
  <sheetData>
    <row r="1" spans="1:22" s="27" customFormat="1" ht="2.25" customHeight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2" ht="18.75" customHeight="1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  <c r="U2" s="48" t="s">
        <v>1</v>
      </c>
      <c r="V2" s="49"/>
    </row>
    <row r="3" spans="1:22" ht="11.25" customHeight="1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  <c r="U3" s="50"/>
      <c r="V3" s="51"/>
    </row>
    <row r="4" spans="1:22" ht="11.25" customHeight="1">
      <c r="A4" s="41"/>
      <c r="B4" s="28"/>
      <c r="C4" s="34"/>
      <c r="D4" s="17"/>
      <c r="E4" s="17"/>
      <c r="F4" s="17"/>
      <c r="G4" s="17"/>
      <c r="H4" s="11"/>
      <c r="I4" s="11"/>
      <c r="J4" s="11"/>
      <c r="K4" s="11"/>
      <c r="L4" s="11"/>
      <c r="M4" s="11"/>
      <c r="N4" s="11"/>
      <c r="O4" s="11"/>
      <c r="P4" s="20"/>
      <c r="Q4" s="20"/>
      <c r="R4" s="37"/>
      <c r="S4" s="23" t="s">
        <v>2</v>
      </c>
      <c r="T4" s="38" t="s">
        <v>2</v>
      </c>
      <c r="U4" s="30"/>
      <c r="V4" s="33"/>
    </row>
    <row r="5" spans="1:22" ht="13.5" customHeight="1">
      <c r="A5" s="25"/>
      <c r="B5" s="52" t="s">
        <v>3</v>
      </c>
      <c r="C5" s="53"/>
      <c r="D5" s="54"/>
      <c r="E5" s="52" t="s">
        <v>4</v>
      </c>
      <c r="F5" s="53"/>
      <c r="G5" s="54"/>
      <c r="H5" s="55" t="s">
        <v>5</v>
      </c>
      <c r="I5" s="55"/>
      <c r="J5" s="55"/>
      <c r="K5" s="16" t="s">
        <v>6</v>
      </c>
      <c r="L5" s="52" t="s">
        <v>7</v>
      </c>
      <c r="M5" s="53"/>
      <c r="N5" s="54"/>
      <c r="O5" s="52" t="s">
        <v>8</v>
      </c>
      <c r="P5" s="53"/>
      <c r="Q5" s="54"/>
      <c r="R5" s="40" t="s">
        <v>9</v>
      </c>
      <c r="S5" s="31" t="s">
        <v>10</v>
      </c>
      <c r="T5" s="18" t="s">
        <v>11</v>
      </c>
      <c r="U5" s="32" t="s">
        <v>12</v>
      </c>
      <c r="V5" s="18" t="s">
        <v>13</v>
      </c>
    </row>
    <row r="6" spans="1:22" s="29" customFormat="1">
      <c r="A6" s="22" t="s">
        <v>14</v>
      </c>
      <c r="B6" s="13" t="s">
        <v>15</v>
      </c>
      <c r="C6" s="14" t="s">
        <v>16</v>
      </c>
      <c r="D6" s="15" t="s">
        <v>17</v>
      </c>
      <c r="E6" s="13" t="s">
        <v>15</v>
      </c>
      <c r="F6" s="14" t="s">
        <v>16</v>
      </c>
      <c r="G6" s="15" t="s">
        <v>17</v>
      </c>
      <c r="H6" s="13" t="s">
        <v>15</v>
      </c>
      <c r="I6" s="14" t="s">
        <v>16</v>
      </c>
      <c r="J6" s="15" t="s">
        <v>17</v>
      </c>
      <c r="K6" s="13" t="s">
        <v>18</v>
      </c>
      <c r="L6" s="39" t="s">
        <v>15</v>
      </c>
      <c r="M6" s="14" t="s">
        <v>16</v>
      </c>
      <c r="N6" s="15" t="s">
        <v>17</v>
      </c>
      <c r="O6" s="13" t="s">
        <v>15</v>
      </c>
      <c r="P6" s="14" t="s">
        <v>16</v>
      </c>
      <c r="Q6" s="15" t="s">
        <v>17</v>
      </c>
      <c r="R6" s="13" t="s">
        <v>15</v>
      </c>
      <c r="S6" s="21" t="s">
        <v>15</v>
      </c>
      <c r="T6" s="21" t="s">
        <v>15</v>
      </c>
      <c r="U6" s="26" t="s">
        <v>19</v>
      </c>
      <c r="V6" s="35" t="s">
        <v>19</v>
      </c>
    </row>
    <row r="7" spans="1:22" ht="21" customHeight="1">
      <c r="A7" s="10">
        <v>46143</v>
      </c>
      <c r="B7" s="4">
        <v>1.6499987840652499</v>
      </c>
      <c r="C7" s="3">
        <v>1.9971513748168901</v>
      </c>
      <c r="D7" s="3">
        <v>0.78348779678344704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0</v>
      </c>
      <c r="K7" s="3">
        <f t="shared" ref="K7:K37" si="0">IF(B7="","",B7+E7+H7)</f>
        <v>1.6499987840652499</v>
      </c>
      <c r="L7" s="3">
        <v>1.3154045343398999</v>
      </c>
      <c r="M7" s="3">
        <v>1.60300016403198</v>
      </c>
      <c r="N7" s="4">
        <v>0.47900009155273399</v>
      </c>
      <c r="O7" s="4">
        <v>1.1199992895126301</v>
      </c>
      <c r="P7" s="4">
        <v>1.7402200698852499</v>
      </c>
      <c r="Q7" s="4">
        <v>0.25533866882324202</v>
      </c>
      <c r="R7" s="4">
        <v>0.76999956369400002</v>
      </c>
      <c r="S7" s="2">
        <v>30.820610046386701</v>
      </c>
      <c r="T7" s="2">
        <v>78.904571533203097</v>
      </c>
      <c r="U7" s="2">
        <v>9.3679618722784408</v>
      </c>
      <c r="V7" s="5">
        <v>691.42374176810097</v>
      </c>
    </row>
    <row r="8" spans="1:22" ht="21" customHeight="1">
      <c r="A8" s="9">
        <v>46144</v>
      </c>
      <c r="B8" s="1">
        <v>1.6099988222122199</v>
      </c>
      <c r="C8" s="1">
        <v>2.0363607406616202</v>
      </c>
      <c r="D8" s="1">
        <v>1.18413734436035</v>
      </c>
      <c r="E8" s="1">
        <v>0</v>
      </c>
      <c r="F8" s="1">
        <v>0</v>
      </c>
      <c r="G8" s="1">
        <v>-4.2891502380371099E-4</v>
      </c>
      <c r="H8" s="1">
        <v>0</v>
      </c>
      <c r="I8" s="1">
        <v>0</v>
      </c>
      <c r="J8" s="1">
        <v>0</v>
      </c>
      <c r="K8" s="8">
        <f t="shared" si="0"/>
        <v>1.6099988222122199</v>
      </c>
      <c r="L8" s="1">
        <v>1.2645925283432</v>
      </c>
      <c r="M8" s="1">
        <v>1.62100028991699</v>
      </c>
      <c r="N8" s="1">
        <v>0.83100032806396495</v>
      </c>
      <c r="O8" s="1">
        <v>1.0999993085861199</v>
      </c>
      <c r="P8" s="1">
        <v>1.75151014328003</v>
      </c>
      <c r="Q8" s="1">
        <v>0.27032089233398399</v>
      </c>
      <c r="R8" s="1">
        <v>0.98999935388565097</v>
      </c>
      <c r="S8" s="1">
        <v>30.670606613159201</v>
      </c>
      <c r="T8" s="1">
        <v>79.983436584472699</v>
      </c>
      <c r="U8" s="1">
        <v>9.8419719845822797</v>
      </c>
      <c r="V8" s="7">
        <v>658.49813276533496</v>
      </c>
    </row>
    <row r="9" spans="1:22" ht="21" customHeight="1">
      <c r="A9" s="12">
        <v>46145</v>
      </c>
      <c r="B9" s="2">
        <v>1.6099988222122199</v>
      </c>
      <c r="C9" s="2">
        <v>2.0310029983520499</v>
      </c>
      <c r="D9" s="2">
        <v>1.1743698120117201</v>
      </c>
      <c r="E9" s="2">
        <v>0</v>
      </c>
      <c r="F9" s="2">
        <v>0</v>
      </c>
      <c r="G9" s="2">
        <v>-3.89337539672852E-4</v>
      </c>
      <c r="H9" s="2">
        <v>0</v>
      </c>
      <c r="I9" s="2">
        <v>0</v>
      </c>
      <c r="J9" s="2">
        <v>0</v>
      </c>
      <c r="K9" s="3">
        <f t="shared" si="0"/>
        <v>1.6099988222122199</v>
      </c>
      <c r="L9" s="2">
        <v>1.24428975582123</v>
      </c>
      <c r="M9" s="2">
        <v>1.6280002593994101</v>
      </c>
      <c r="N9" s="2">
        <v>0.828000068664551</v>
      </c>
      <c r="O9" s="2">
        <v>1.08999931812286</v>
      </c>
      <c r="P9" s="2">
        <v>1.76407098770142</v>
      </c>
      <c r="Q9" s="2">
        <v>0.26372504234313998</v>
      </c>
      <c r="R9" s="2">
        <v>0.97999936342239402</v>
      </c>
      <c r="S9" s="2">
        <v>30.200595855712901</v>
      </c>
      <c r="T9" s="2">
        <v>81.136970520019503</v>
      </c>
      <c r="U9" s="2">
        <v>9.9341554005498907</v>
      </c>
      <c r="V9" s="5">
        <v>641.51316510081904</v>
      </c>
    </row>
    <row r="10" spans="1:22" ht="21" customHeight="1">
      <c r="A10" s="9">
        <v>46146</v>
      </c>
      <c r="B10" s="1">
        <v>1.4799989461898799</v>
      </c>
      <c r="C10" s="1">
        <v>1.8723735809326201</v>
      </c>
      <c r="D10" s="1">
        <v>1.1727213859558101</v>
      </c>
      <c r="E10" s="1">
        <v>0</v>
      </c>
      <c r="F10" s="1">
        <v>0</v>
      </c>
      <c r="G10" s="1">
        <v>-3.89337539672852E-4</v>
      </c>
      <c r="H10" s="1">
        <v>0</v>
      </c>
      <c r="I10" s="1">
        <v>0</v>
      </c>
      <c r="J10" s="1">
        <v>0</v>
      </c>
      <c r="K10" s="8">
        <f t="shared" si="0"/>
        <v>1.4799989461898799</v>
      </c>
      <c r="L10" s="1">
        <v>1.16620528697968</v>
      </c>
      <c r="M10" s="1">
        <v>1.4710001945495601</v>
      </c>
      <c r="N10" s="1">
        <v>0.819000244140625</v>
      </c>
      <c r="O10" s="1">
        <v>0.96999937295913696</v>
      </c>
      <c r="P10" s="1">
        <v>1.53005218505859</v>
      </c>
      <c r="Q10" s="1">
        <v>0.27087974548339799</v>
      </c>
      <c r="R10" s="1">
        <v>0.95999938249588002</v>
      </c>
      <c r="S10" s="1">
        <v>29.740585327148398</v>
      </c>
      <c r="T10" s="1">
        <v>82.438934326171903</v>
      </c>
      <c r="U10" s="1">
        <v>9.8540328617639403</v>
      </c>
      <c r="V10" s="7">
        <v>611.262794605968</v>
      </c>
    </row>
    <row r="11" spans="1:22" ht="21" customHeight="1">
      <c r="A11" s="10">
        <v>46147</v>
      </c>
      <c r="B11" s="4">
        <v>1</v>
      </c>
      <c r="C11" s="3">
        <v>2.0969505310058598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0.95366072654724099</v>
      </c>
      <c r="J11" s="4">
        <v>0</v>
      </c>
      <c r="K11" s="3">
        <f t="shared" si="0"/>
        <v>1</v>
      </c>
      <c r="L11" s="3">
        <v>1.0927368402481099</v>
      </c>
      <c r="M11" s="3">
        <v>1.4440002441406301</v>
      </c>
      <c r="N11" s="4">
        <v>0.48100042343139598</v>
      </c>
      <c r="O11" s="4">
        <v>0</v>
      </c>
      <c r="P11" s="4">
        <v>1.4701886177062999</v>
      </c>
      <c r="Q11" s="4">
        <v>0</v>
      </c>
      <c r="R11" s="4">
        <v>0</v>
      </c>
      <c r="S11" s="2">
        <v>29</v>
      </c>
      <c r="T11" s="2">
        <v>79.180480957031307</v>
      </c>
      <c r="U11" s="2">
        <v>9.3595044142877608</v>
      </c>
      <c r="V11" s="5">
        <v>622.85094956944397</v>
      </c>
    </row>
    <row r="12" spans="1:22" ht="21" customHeight="1">
      <c r="A12" s="9">
        <v>46148</v>
      </c>
      <c r="B12" s="1">
        <v>1.4099990129470801</v>
      </c>
      <c r="C12" s="1">
        <v>1.6824207305908201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8">
        <f t="shared" si="0"/>
        <v>1.4099990129470801</v>
      </c>
      <c r="L12" s="1">
        <v>1.07065534591675</v>
      </c>
      <c r="M12" s="1">
        <v>1.42800045013428</v>
      </c>
      <c r="N12" s="1">
        <v>0.39200019836425798</v>
      </c>
      <c r="O12" s="1">
        <v>0.88999944925308205</v>
      </c>
      <c r="P12" s="1">
        <v>1.4272832870483401</v>
      </c>
      <c r="Q12" s="1">
        <v>0</v>
      </c>
      <c r="R12" s="1">
        <v>0.96999937295913696</v>
      </c>
      <c r="S12" s="1">
        <v>29.390577316284201</v>
      </c>
      <c r="T12" s="1">
        <v>77.212013244628906</v>
      </c>
      <c r="U12" s="1">
        <v>8.9793070888644397</v>
      </c>
      <c r="V12" s="7">
        <v>719.51202328061004</v>
      </c>
    </row>
    <row r="13" spans="1:22" ht="21" customHeight="1">
      <c r="A13" s="12">
        <v>46149</v>
      </c>
      <c r="B13" s="2">
        <v>1.4499989748001101</v>
      </c>
      <c r="C13" s="2">
        <v>1.88046550750732</v>
      </c>
      <c r="D13" s="2">
        <v>1</v>
      </c>
      <c r="E13" s="2">
        <v>0</v>
      </c>
      <c r="F13" s="2">
        <v>0</v>
      </c>
      <c r="G13" s="2">
        <v>-3.9482116699218799E-4</v>
      </c>
      <c r="H13" s="2">
        <v>0</v>
      </c>
      <c r="I13" s="2">
        <v>0</v>
      </c>
      <c r="J13" s="2">
        <v>0</v>
      </c>
      <c r="K13" s="3">
        <f t="shared" si="0"/>
        <v>1.4499989748001101</v>
      </c>
      <c r="L13" s="2">
        <v>1.10595178604126</v>
      </c>
      <c r="M13" s="2">
        <v>1.5210003852844201</v>
      </c>
      <c r="N13" s="2">
        <v>0.65600013732910201</v>
      </c>
      <c r="O13" s="2">
        <v>0.91999942064285301</v>
      </c>
      <c r="P13" s="2">
        <v>1.55858373641968</v>
      </c>
      <c r="Q13" s="2">
        <v>0</v>
      </c>
      <c r="R13" s="2">
        <v>0.99999934434890703</v>
      </c>
      <c r="S13" s="2">
        <v>28.5405578613281</v>
      </c>
      <c r="T13" s="2">
        <v>79.70751953125</v>
      </c>
      <c r="U13" s="2">
        <v>9.2342578925220202</v>
      </c>
      <c r="V13" s="5">
        <v>673.97768955461697</v>
      </c>
    </row>
    <row r="14" spans="1:22" ht="21" customHeight="1">
      <c r="A14" s="9">
        <v>46150</v>
      </c>
      <c r="B14" s="1">
        <v>1.4099990129470801</v>
      </c>
      <c r="C14" s="1">
        <v>1.81682777404785</v>
      </c>
      <c r="D14" s="1">
        <v>0.69343805313110396</v>
      </c>
      <c r="E14" s="1">
        <v>0</v>
      </c>
      <c r="F14" s="1">
        <v>0</v>
      </c>
      <c r="G14" s="1">
        <v>-2.74896621704102E-4</v>
      </c>
      <c r="H14" s="1">
        <v>0</v>
      </c>
      <c r="I14" s="1">
        <v>0</v>
      </c>
      <c r="J14" s="1">
        <v>0</v>
      </c>
      <c r="K14" s="8">
        <f t="shared" si="0"/>
        <v>1.4099990129470801</v>
      </c>
      <c r="L14" s="1">
        <v>1.08097147941589</v>
      </c>
      <c r="M14" s="1">
        <v>1.43800020217896</v>
      </c>
      <c r="N14" s="1">
        <v>0.38500022888183599</v>
      </c>
      <c r="O14" s="1">
        <v>0.899999439716339</v>
      </c>
      <c r="P14" s="1">
        <v>1.5966539382934599</v>
      </c>
      <c r="Q14" s="1">
        <v>0.25202059745788602</v>
      </c>
      <c r="R14" s="1">
        <v>0.96999937295913696</v>
      </c>
      <c r="S14" s="1">
        <v>28.850564956665</v>
      </c>
      <c r="T14" s="1">
        <v>80.956657409667997</v>
      </c>
      <c r="U14" s="1">
        <v>9.6855761582359303</v>
      </c>
      <c r="V14" s="7">
        <v>634.25962544349102</v>
      </c>
    </row>
    <row r="15" spans="1:22" ht="21" customHeight="1">
      <c r="A15" s="10">
        <v>46151</v>
      </c>
      <c r="B15" s="4">
        <v>1.41999900341034</v>
      </c>
      <c r="C15" s="3">
        <v>2.1770105361938499</v>
      </c>
      <c r="D15" s="3">
        <v>0.54890489578247104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0</v>
      </c>
      <c r="K15" s="3">
        <f t="shared" si="0"/>
        <v>1.41999900341034</v>
      </c>
      <c r="L15" s="3">
        <v>1.06530141830444</v>
      </c>
      <c r="M15" s="3">
        <v>1.7740001678466799</v>
      </c>
      <c r="N15" s="4">
        <v>0.43900012969970698</v>
      </c>
      <c r="O15" s="4">
        <v>0.90999943017959595</v>
      </c>
      <c r="P15" s="4">
        <v>1.6069312095642101</v>
      </c>
      <c r="Q15" s="4">
        <v>0.25398588180541998</v>
      </c>
      <c r="R15" s="4">
        <v>0.94999939203262296</v>
      </c>
      <c r="S15" s="2">
        <v>28.970567703247099</v>
      </c>
      <c r="T15" s="2">
        <v>80.068687438964801</v>
      </c>
      <c r="U15" s="2">
        <v>9.7513376021236091</v>
      </c>
      <c r="V15" s="5">
        <v>577.11185071996897</v>
      </c>
    </row>
    <row r="16" spans="1:22" ht="21" customHeight="1">
      <c r="A16" s="9">
        <v>46152</v>
      </c>
      <c r="B16" s="1">
        <v>1.46999895572662</v>
      </c>
      <c r="C16" s="1">
        <v>2.0330629348754901</v>
      </c>
      <c r="D16" s="1">
        <v>0.94219446182250999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8">
        <f t="shared" si="0"/>
        <v>1.46999895572662</v>
      </c>
      <c r="L16" s="1">
        <v>1.1134127378463701</v>
      </c>
      <c r="M16" s="1">
        <v>1.6500000953674301</v>
      </c>
      <c r="N16" s="1">
        <v>0.57000017166137695</v>
      </c>
      <c r="O16" s="1">
        <v>0.93999940156936601</v>
      </c>
      <c r="P16" s="1">
        <v>1.6573057174682599</v>
      </c>
      <c r="Q16" s="1">
        <v>0.25428891181945801</v>
      </c>
      <c r="R16" s="1">
        <v>0.97999936342239402</v>
      </c>
      <c r="S16" s="1">
        <v>27.330530166626001</v>
      </c>
      <c r="T16" s="1">
        <v>86.483810424804702</v>
      </c>
      <c r="U16" s="1">
        <v>9.3939353745376302</v>
      </c>
      <c r="V16" s="7">
        <v>572.33080982581998</v>
      </c>
    </row>
    <row r="17" spans="1:22" ht="21" customHeight="1">
      <c r="A17" s="12">
        <v>46153</v>
      </c>
      <c r="B17" s="2">
        <v>1.3699990510940601</v>
      </c>
      <c r="C17" s="2">
        <v>1.8492946624755899</v>
      </c>
      <c r="D17" s="2">
        <v>0.44621372222900402</v>
      </c>
      <c r="E17" s="2">
        <v>0</v>
      </c>
      <c r="F17" s="2">
        <v>0</v>
      </c>
      <c r="G17" s="2">
        <v>-3.2877922058105501E-4</v>
      </c>
      <c r="H17" s="2">
        <v>0</v>
      </c>
      <c r="I17" s="2">
        <v>0</v>
      </c>
      <c r="J17" s="2">
        <v>0</v>
      </c>
      <c r="K17" s="3">
        <f t="shared" si="0"/>
        <v>1.3699990510940601</v>
      </c>
      <c r="L17" s="2">
        <v>1.0514004230499301</v>
      </c>
      <c r="M17" s="2">
        <v>5.5440006256103498</v>
      </c>
      <c r="N17" s="2">
        <v>0</v>
      </c>
      <c r="O17" s="2">
        <v>0.85999947786331199</v>
      </c>
      <c r="P17" s="2">
        <v>1.56401443481445</v>
      </c>
      <c r="Q17" s="2">
        <v>0.24167513847351099</v>
      </c>
      <c r="R17" s="2">
        <v>0.98999935388565097</v>
      </c>
      <c r="S17" s="2">
        <v>27.2505283355713</v>
      </c>
      <c r="T17" s="2">
        <v>87.687629699707003</v>
      </c>
      <c r="U17" s="2">
        <v>8.6575553736974999</v>
      </c>
      <c r="V17" s="5">
        <v>652.362501959572</v>
      </c>
    </row>
    <row r="18" spans="1:22" ht="21" customHeight="1">
      <c r="A18" s="9">
        <v>46154</v>
      </c>
      <c r="B18" s="1">
        <v>1.3499990701675399</v>
      </c>
      <c r="C18" s="1">
        <v>1.84197425842285</v>
      </c>
      <c r="D18" s="1">
        <v>0.55350255966186501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8">
        <f t="shared" si="0"/>
        <v>1.3499990701675399</v>
      </c>
      <c r="L18" s="1">
        <v>0.997020244598389</v>
      </c>
      <c r="M18" s="1">
        <v>4.0890007019043004</v>
      </c>
      <c r="N18" s="1">
        <v>0.30299997329711897</v>
      </c>
      <c r="O18" s="1">
        <v>0.82999950647354104</v>
      </c>
      <c r="P18" s="1">
        <v>1.60798692703247</v>
      </c>
      <c r="Q18" s="1">
        <v>0.25195360183715798</v>
      </c>
      <c r="R18" s="1">
        <v>0.97999936342239402</v>
      </c>
      <c r="S18" s="1">
        <v>27.5605354309082</v>
      </c>
      <c r="T18" s="1">
        <v>81.446502685546903</v>
      </c>
      <c r="U18" s="1">
        <v>9.5176836950968902</v>
      </c>
      <c r="V18" s="7">
        <v>580.09491344609</v>
      </c>
    </row>
    <row r="19" spans="1:22" ht="21" customHeight="1">
      <c r="A19" s="10">
        <v>46155</v>
      </c>
      <c r="B19" s="4">
        <v>1.3499990701675399</v>
      </c>
      <c r="C19" s="3">
        <v>1.75896167755127</v>
      </c>
      <c r="D19" s="3">
        <v>0.87522935867309604</v>
      </c>
      <c r="E19" s="3">
        <v>0</v>
      </c>
      <c r="F19" s="3">
        <v>0</v>
      </c>
      <c r="G19" s="3">
        <v>-3.39269638061523E-4</v>
      </c>
      <c r="H19" s="3">
        <v>0</v>
      </c>
      <c r="I19" s="3">
        <v>0</v>
      </c>
      <c r="J19" s="4">
        <v>0</v>
      </c>
      <c r="K19" s="3">
        <f t="shared" si="0"/>
        <v>1.3499990701675399</v>
      </c>
      <c r="L19" s="3">
        <v>1.0030373334884599</v>
      </c>
      <c r="M19" s="3">
        <v>1.3630003929138199</v>
      </c>
      <c r="N19" s="4">
        <v>0.51800012588500999</v>
      </c>
      <c r="O19" s="4">
        <v>0.83999949693679798</v>
      </c>
      <c r="P19" s="4">
        <v>1.5559768676757799</v>
      </c>
      <c r="Q19" s="4">
        <v>0.24713850021362299</v>
      </c>
      <c r="R19" s="4">
        <v>0.96999937295913696</v>
      </c>
      <c r="S19" s="2">
        <v>26.400508880615199</v>
      </c>
      <c r="T19" s="2">
        <v>76.2618408203125</v>
      </c>
      <c r="U19" s="2">
        <v>11.0568141079015</v>
      </c>
      <c r="V19" s="5">
        <v>744.88709904271104</v>
      </c>
    </row>
    <row r="20" spans="1:22" ht="21" customHeight="1">
      <c r="A20" s="9">
        <v>46156</v>
      </c>
      <c r="B20" s="1">
        <v>1.45999896526337</v>
      </c>
      <c r="C20" s="1">
        <v>2.0965538024902299</v>
      </c>
      <c r="D20" s="1">
        <v>0.78424835205078103</v>
      </c>
      <c r="E20" s="1">
        <v>0</v>
      </c>
      <c r="F20" s="1">
        <v>0</v>
      </c>
      <c r="G20" s="1">
        <v>-2.5177001953125E-4</v>
      </c>
      <c r="H20" s="1">
        <v>0</v>
      </c>
      <c r="I20" s="1">
        <v>0</v>
      </c>
      <c r="J20" s="1">
        <v>0</v>
      </c>
      <c r="K20" s="8">
        <f t="shared" si="0"/>
        <v>1.45999896526337</v>
      </c>
      <c r="L20" s="1">
        <v>1.04834079742432</v>
      </c>
      <c r="M20" s="1">
        <v>1.64800024032593</v>
      </c>
      <c r="N20" s="1">
        <v>0.51500034332275402</v>
      </c>
      <c r="O20" s="1">
        <v>0.91999942064285301</v>
      </c>
      <c r="P20" s="1">
        <v>1.8140015602111801</v>
      </c>
      <c r="Q20" s="1">
        <v>0</v>
      </c>
      <c r="R20" s="1">
        <v>0.98999935388565097</v>
      </c>
      <c r="S20" s="1">
        <v>24.890474319458001</v>
      </c>
      <c r="T20" s="1">
        <v>79.593231201171903</v>
      </c>
      <c r="U20" s="1">
        <v>9.2123634149210591</v>
      </c>
      <c r="V20" s="7">
        <v>677.88691497546301</v>
      </c>
    </row>
    <row r="21" spans="1:22" ht="21" customHeight="1">
      <c r="A21" s="12">
        <v>46157</v>
      </c>
      <c r="B21" s="2">
        <v>1.59999883174896</v>
      </c>
      <c r="C21" s="2">
        <v>2.11305809020996</v>
      </c>
      <c r="D21" s="2">
        <v>0.63264465332031306</v>
      </c>
      <c r="E21" s="2">
        <v>0</v>
      </c>
      <c r="F21" s="2">
        <v>0</v>
      </c>
      <c r="G21" s="2">
        <v>-3.05414199829102E-4</v>
      </c>
      <c r="H21" s="2">
        <v>0</v>
      </c>
      <c r="I21" s="2">
        <v>0</v>
      </c>
      <c r="J21" s="2">
        <v>0</v>
      </c>
      <c r="K21" s="3">
        <f t="shared" si="0"/>
        <v>1.59999883174896</v>
      </c>
      <c r="L21" s="2">
        <v>1.2337576150894201</v>
      </c>
      <c r="M21" s="2">
        <v>4.8200006484985396</v>
      </c>
      <c r="N21" s="2">
        <v>0.26000022888183599</v>
      </c>
      <c r="O21" s="2">
        <v>1.0599993467330899</v>
      </c>
      <c r="P21" s="2">
        <v>1.87104511260986</v>
      </c>
      <c r="Q21" s="2">
        <v>0.24799108505249001</v>
      </c>
      <c r="R21" s="2">
        <v>0.98999935388565097</v>
      </c>
      <c r="S21" s="2">
        <v>24.040454864501999</v>
      </c>
      <c r="T21" s="2">
        <v>80.878990173339801</v>
      </c>
      <c r="U21" s="2">
        <v>9.4151683599274492</v>
      </c>
      <c r="V21" s="5">
        <v>644.85701341874199</v>
      </c>
    </row>
    <row r="22" spans="1:22" ht="21" customHeight="1">
      <c r="A22" s="9">
        <v>46158</v>
      </c>
      <c r="B22" s="1">
        <v>1.62999880313873</v>
      </c>
      <c r="C22" s="1">
        <v>2.0777235031127899</v>
      </c>
      <c r="D22" s="1">
        <v>1.12674760818481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8">
        <f t="shared" si="0"/>
        <v>1.62999880313873</v>
      </c>
      <c r="L22" s="1">
        <v>1.24791252613068</v>
      </c>
      <c r="M22" s="1">
        <v>1.6460003852844201</v>
      </c>
      <c r="N22" s="1">
        <v>0.72800016403198198</v>
      </c>
      <c r="O22" s="1">
        <v>1.08999931812286</v>
      </c>
      <c r="P22" s="1">
        <v>1.8613462448120099</v>
      </c>
      <c r="Q22" s="1">
        <v>0.26228809356689498</v>
      </c>
      <c r="R22" s="1">
        <v>0.98999935388565097</v>
      </c>
      <c r="S22" s="1">
        <v>24.650468826293899</v>
      </c>
      <c r="T22" s="1">
        <v>80.177795410156307</v>
      </c>
      <c r="U22" s="1">
        <v>9.4737476417801307</v>
      </c>
      <c r="V22" s="7">
        <v>614.77455454091398</v>
      </c>
    </row>
    <row r="23" spans="1:22" ht="21" customHeight="1">
      <c r="A23" s="10">
        <v>46159</v>
      </c>
      <c r="B23" s="4">
        <v>1.66999876499176</v>
      </c>
      <c r="C23" s="3">
        <v>2.1175651550293</v>
      </c>
      <c r="D23" s="3">
        <v>1.1856064796447801</v>
      </c>
      <c r="E23" s="3">
        <v>0</v>
      </c>
      <c r="F23" s="3">
        <v>0</v>
      </c>
      <c r="G23" s="3">
        <v>-3.4832954406738298E-4</v>
      </c>
      <c r="H23" s="3">
        <v>0</v>
      </c>
      <c r="I23" s="3">
        <v>0</v>
      </c>
      <c r="J23" s="4">
        <v>0</v>
      </c>
      <c r="K23" s="3">
        <f t="shared" si="0"/>
        <v>1.66999876499176</v>
      </c>
      <c r="L23" s="3">
        <v>1.2854365110397299</v>
      </c>
      <c r="M23" s="3">
        <v>1.6560001373291</v>
      </c>
      <c r="N23" s="4">
        <v>0</v>
      </c>
      <c r="O23" s="4">
        <v>1.12999927997589</v>
      </c>
      <c r="P23" s="4">
        <v>1.8263692855835001</v>
      </c>
      <c r="Q23" s="4">
        <v>0.26748275756835899</v>
      </c>
      <c r="R23" s="4">
        <v>0.99999934434890703</v>
      </c>
      <c r="S23" s="2">
        <v>25.8504962921143</v>
      </c>
      <c r="T23" s="2">
        <v>84.667083740234403</v>
      </c>
      <c r="U23" s="2">
        <v>9.5710018746466794</v>
      </c>
      <c r="V23" s="5">
        <v>516.77105980105</v>
      </c>
    </row>
    <row r="24" spans="1:22" ht="21" customHeight="1">
      <c r="A24" s="9">
        <v>46160</v>
      </c>
      <c r="B24" s="1">
        <v>1.62999880313873</v>
      </c>
      <c r="C24" s="1">
        <v>1.9779424667358401</v>
      </c>
      <c r="D24" s="1">
        <v>0.80567836761474598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8">
        <f t="shared" si="0"/>
        <v>1.62999880313873</v>
      </c>
      <c r="L24" s="1">
        <v>1.2619922161102299</v>
      </c>
      <c r="M24" s="1">
        <v>1.5680003166198699</v>
      </c>
      <c r="N24" s="1">
        <v>0.44700002670288103</v>
      </c>
      <c r="O24" s="1">
        <v>1.08999931812286</v>
      </c>
      <c r="P24" s="1">
        <v>1.70028972625732</v>
      </c>
      <c r="Q24" s="1">
        <v>0.26946973800659202</v>
      </c>
      <c r="R24" s="1">
        <v>0.98999935388565097</v>
      </c>
      <c r="S24" s="1">
        <v>26.260505676269499</v>
      </c>
      <c r="T24" s="1">
        <v>85.920837402343807</v>
      </c>
      <c r="U24" s="1">
        <v>9.0970765969420206</v>
      </c>
      <c r="V24" s="7">
        <v>518.10838533127105</v>
      </c>
    </row>
    <row r="25" spans="1:22" ht="21" customHeight="1">
      <c r="A25" s="12">
        <v>46161</v>
      </c>
      <c r="B25" s="2">
        <v>1.63999879360199</v>
      </c>
      <c r="C25" s="2">
        <v>1.8989009857177701</v>
      </c>
      <c r="D25" s="2">
        <v>0.81596183776855502</v>
      </c>
      <c r="E25" s="2">
        <v>0</v>
      </c>
      <c r="F25" s="2">
        <v>0</v>
      </c>
      <c r="G25" s="2">
        <v>-5.0783157348632802E-4</v>
      </c>
      <c r="H25" s="2">
        <v>0</v>
      </c>
      <c r="I25" s="2">
        <v>0</v>
      </c>
      <c r="J25" s="2">
        <v>0</v>
      </c>
      <c r="K25" s="3">
        <f t="shared" si="0"/>
        <v>1.63999879360199</v>
      </c>
      <c r="L25" s="2">
        <v>1.16549503803253</v>
      </c>
      <c r="M25" s="2">
        <v>1.46900033950806</v>
      </c>
      <c r="N25" s="2">
        <v>0</v>
      </c>
      <c r="O25" s="2">
        <v>1.0999993085861199</v>
      </c>
      <c r="P25" s="2">
        <v>1.6383857727050799</v>
      </c>
      <c r="Q25" s="2">
        <v>0.26054954528808599</v>
      </c>
      <c r="R25" s="2">
        <v>0.99999934434890703</v>
      </c>
      <c r="S25" s="2">
        <v>25.950498580932599</v>
      </c>
      <c r="T25" s="2">
        <v>77.652473449707003</v>
      </c>
      <c r="U25" s="2">
        <v>9.0318489150921408</v>
      </c>
      <c r="V25" s="5">
        <v>497.52537726428102</v>
      </c>
    </row>
    <row r="26" spans="1:22" ht="21" customHeight="1">
      <c r="A26" s="9">
        <v>46162</v>
      </c>
      <c r="B26" s="1">
        <v>1.62999880313873</v>
      </c>
      <c r="C26" s="1">
        <v>1.9154586791992201</v>
      </c>
      <c r="D26" s="1">
        <v>1.05049705505371</v>
      </c>
      <c r="E26" s="1">
        <v>0</v>
      </c>
      <c r="F26" s="1">
        <v>0</v>
      </c>
      <c r="G26" s="1">
        <v>-5.2571296691894499E-4</v>
      </c>
      <c r="H26" s="1">
        <v>0</v>
      </c>
      <c r="I26" s="1">
        <v>0</v>
      </c>
      <c r="J26" s="1">
        <v>0</v>
      </c>
      <c r="K26" s="8">
        <f t="shared" si="0"/>
        <v>1.62999880313873</v>
      </c>
      <c r="L26" s="1">
        <v>0</v>
      </c>
      <c r="M26" s="1">
        <v>0</v>
      </c>
      <c r="N26" s="1">
        <v>0</v>
      </c>
      <c r="O26" s="1">
        <v>1.1099992990493801</v>
      </c>
      <c r="P26" s="1">
        <v>1.6996712684631301</v>
      </c>
      <c r="Q26" s="1">
        <v>0.36785888671875</v>
      </c>
      <c r="R26" s="1">
        <v>1.00999939441681</v>
      </c>
      <c r="S26" s="1">
        <v>26.880519866943398</v>
      </c>
      <c r="T26" s="1">
        <v>77.602409362792997</v>
      </c>
      <c r="U26" s="1">
        <v>9.8299502269355195</v>
      </c>
      <c r="V26" s="7">
        <v>590.36012171572304</v>
      </c>
    </row>
    <row r="27" spans="1:22" ht="21" customHeight="1">
      <c r="A27" s="10">
        <v>46163</v>
      </c>
      <c r="B27" s="4">
        <v>1.5799988508224501</v>
      </c>
      <c r="C27" s="3">
        <v>1.9377870559692401</v>
      </c>
      <c r="D27" s="3">
        <v>0.53117132186889604</v>
      </c>
      <c r="E27" s="3">
        <v>0</v>
      </c>
      <c r="F27" s="3">
        <v>0</v>
      </c>
      <c r="G27" s="3">
        <v>-5.2189826965331999E-4</v>
      </c>
      <c r="H27" s="3">
        <v>0</v>
      </c>
      <c r="I27" s="3">
        <v>0</v>
      </c>
      <c r="J27" s="4">
        <v>0</v>
      </c>
      <c r="K27" s="3">
        <f t="shared" si="0"/>
        <v>1.5799988508224501</v>
      </c>
      <c r="L27" s="3">
        <v>0</v>
      </c>
      <c r="M27" s="3">
        <v>0</v>
      </c>
      <c r="N27" s="4">
        <v>0</v>
      </c>
      <c r="O27" s="4">
        <v>1.04999935626984</v>
      </c>
      <c r="P27" s="4">
        <v>1.7435722351074201</v>
      </c>
      <c r="Q27" s="4">
        <v>0.26617264747619601</v>
      </c>
      <c r="R27" s="4">
        <v>1.00999939441681</v>
      </c>
      <c r="S27" s="2">
        <v>25.570489883422901</v>
      </c>
      <c r="T27" s="2">
        <v>78.153617858886705</v>
      </c>
      <c r="U27" s="2">
        <v>9.9107986643050907</v>
      </c>
      <c r="V27" s="5">
        <v>717.81357390487904</v>
      </c>
    </row>
    <row r="28" spans="1:22" ht="21" customHeight="1">
      <c r="A28" s="9">
        <v>46164</v>
      </c>
      <c r="B28" s="1">
        <v>1.49999892711639</v>
      </c>
      <c r="C28" s="1">
        <v>1.93221759796143</v>
      </c>
      <c r="D28" s="1">
        <v>0.88705825805664096</v>
      </c>
      <c r="E28" s="1">
        <v>0</v>
      </c>
      <c r="F28" s="1">
        <v>0</v>
      </c>
      <c r="G28" s="1">
        <v>-4.57525253295898E-4</v>
      </c>
      <c r="H28" s="1">
        <v>0</v>
      </c>
      <c r="I28" s="1">
        <v>0</v>
      </c>
      <c r="J28" s="1">
        <v>0</v>
      </c>
      <c r="K28" s="8">
        <f t="shared" si="0"/>
        <v>1.49999892711639</v>
      </c>
      <c r="L28" s="1">
        <v>0</v>
      </c>
      <c r="M28" s="1">
        <v>0</v>
      </c>
      <c r="N28" s="1">
        <v>0</v>
      </c>
      <c r="O28" s="1">
        <v>0.95999938249588002</v>
      </c>
      <c r="P28" s="1">
        <v>1.72433805465698</v>
      </c>
      <c r="Q28" s="1">
        <v>0.25627994537353499</v>
      </c>
      <c r="R28" s="1">
        <v>1.0299993753433201</v>
      </c>
      <c r="S28" s="1">
        <v>25.720493316650401</v>
      </c>
      <c r="T28" s="1">
        <v>76.545066833496094</v>
      </c>
      <c r="U28" s="1">
        <v>9.8417141773868106</v>
      </c>
      <c r="V28" s="7">
        <v>640.74732488720997</v>
      </c>
    </row>
    <row r="29" spans="1:22" ht="21" customHeight="1">
      <c r="A29" s="12">
        <v>46165</v>
      </c>
      <c r="B29" s="2">
        <v>1.4899989366531401</v>
      </c>
      <c r="C29" s="2">
        <v>1.9296445846557599</v>
      </c>
      <c r="D29" s="2">
        <v>1.0068774223327599</v>
      </c>
      <c r="E29" s="2">
        <v>0</v>
      </c>
      <c r="F29" s="2">
        <v>0</v>
      </c>
      <c r="G29" s="2">
        <v>-4.48703765869141E-4</v>
      </c>
      <c r="H29" s="2">
        <v>0</v>
      </c>
      <c r="I29" s="2">
        <v>0</v>
      </c>
      <c r="J29" s="2">
        <v>0</v>
      </c>
      <c r="K29" s="3">
        <f t="shared" si="0"/>
        <v>1.4899989366531401</v>
      </c>
      <c r="L29" s="2">
        <v>0</v>
      </c>
      <c r="M29" s="2">
        <v>0</v>
      </c>
      <c r="N29" s="2">
        <v>0</v>
      </c>
      <c r="O29" s="2">
        <v>0.94999939203262296</v>
      </c>
      <c r="P29" s="2">
        <v>1.71568775177002</v>
      </c>
      <c r="Q29" s="2">
        <v>0.25605440139770502</v>
      </c>
      <c r="R29" s="2">
        <v>1.0299993753433201</v>
      </c>
      <c r="S29" s="2">
        <v>26.050500869751001</v>
      </c>
      <c r="T29" s="2">
        <v>78.283523559570298</v>
      </c>
      <c r="U29" s="2">
        <v>9.3645970763391393</v>
      </c>
      <c r="V29" s="5">
        <v>605.77479524592502</v>
      </c>
    </row>
    <row r="30" spans="1:22" ht="21" customHeight="1">
      <c r="A30" s="9">
        <v>46166</v>
      </c>
      <c r="B30" s="1">
        <v>1.5399988889694201</v>
      </c>
      <c r="C30" s="1">
        <v>2.0273256301879901</v>
      </c>
      <c r="D30" s="1">
        <v>0.92897129058837902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8">
        <f t="shared" si="0"/>
        <v>1.5399988889694201</v>
      </c>
      <c r="L30" s="1">
        <v>0</v>
      </c>
      <c r="M30" s="1">
        <v>0</v>
      </c>
      <c r="N30" s="1">
        <v>0</v>
      </c>
      <c r="O30" s="1">
        <v>0.99999934434890703</v>
      </c>
      <c r="P30" s="1">
        <v>1.7865467071533201</v>
      </c>
      <c r="Q30" s="1">
        <v>0.25088930130004899</v>
      </c>
      <c r="R30" s="1">
        <v>1.03999936580658</v>
      </c>
      <c r="S30" s="1">
        <v>26.090501785278299</v>
      </c>
      <c r="T30" s="1">
        <v>81.130706787109403</v>
      </c>
      <c r="U30" s="1">
        <v>9.7754423735951903</v>
      </c>
      <c r="V30" s="7">
        <v>518.10470515311499</v>
      </c>
    </row>
    <row r="31" spans="1:22" ht="21" customHeight="1">
      <c r="A31" s="10">
        <v>46167</v>
      </c>
      <c r="B31" s="4">
        <v>1.6099988222122199</v>
      </c>
      <c r="C31" s="3">
        <v>2.2115993499755899</v>
      </c>
      <c r="D31" s="3">
        <v>0.44216394424438499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4">
        <v>0</v>
      </c>
      <c r="K31" s="3">
        <f t="shared" si="0"/>
        <v>1.6099988222122199</v>
      </c>
      <c r="L31" s="3">
        <v>0</v>
      </c>
      <c r="M31" s="3">
        <v>0</v>
      </c>
      <c r="N31" s="4">
        <v>0</v>
      </c>
      <c r="O31" s="4">
        <v>1.07999932765961</v>
      </c>
      <c r="P31" s="4">
        <v>1.9092097282409699</v>
      </c>
      <c r="Q31" s="4">
        <v>0.25683403015136702</v>
      </c>
      <c r="R31" s="4">
        <v>1.0199993848800699</v>
      </c>
      <c r="S31" s="2">
        <v>25.890497207641602</v>
      </c>
      <c r="T31" s="2">
        <v>86.282775878906307</v>
      </c>
      <c r="U31" s="2">
        <v>9.8761757651164004</v>
      </c>
      <c r="V31" s="5">
        <v>664.62770658470504</v>
      </c>
    </row>
    <row r="32" spans="1:22" ht="21" customHeight="1">
      <c r="A32" s="9">
        <v>46168</v>
      </c>
      <c r="B32" s="1">
        <v>1.49999892711639</v>
      </c>
      <c r="C32" s="1">
        <v>1.9583091735839799</v>
      </c>
      <c r="D32" s="1">
        <v>0.59645891189575195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8">
        <f t="shared" si="0"/>
        <v>1.49999892711639</v>
      </c>
      <c r="L32" s="1">
        <v>0</v>
      </c>
      <c r="M32" s="1">
        <v>0</v>
      </c>
      <c r="N32" s="1">
        <v>0</v>
      </c>
      <c r="O32" s="1">
        <v>0.95999938249588002</v>
      </c>
      <c r="P32" s="1">
        <v>1.6997942924499501</v>
      </c>
      <c r="Q32" s="1">
        <v>0.25480294227600098</v>
      </c>
      <c r="R32" s="1">
        <v>1.0199993848800699</v>
      </c>
      <c r="S32" s="1">
        <v>25.300483703613299</v>
      </c>
      <c r="T32" s="1">
        <v>87.277893066406307</v>
      </c>
      <c r="U32" s="1">
        <v>9.9787835975419004</v>
      </c>
      <c r="V32" s="7">
        <v>702.61843157377905</v>
      </c>
    </row>
    <row r="33" spans="1:22" ht="21" customHeight="1">
      <c r="A33" s="12">
        <v>46169</v>
      </c>
      <c r="B33" s="2">
        <v>1.4899989366531401</v>
      </c>
      <c r="C33" s="2">
        <v>1.93231678009033</v>
      </c>
      <c r="D33" s="2">
        <v>0.44160366058349598</v>
      </c>
      <c r="E33" s="2">
        <v>0</v>
      </c>
      <c r="F33" s="2">
        <v>0</v>
      </c>
      <c r="G33" s="2">
        <v>-3.6787986755371099E-4</v>
      </c>
      <c r="H33" s="2">
        <v>0</v>
      </c>
      <c r="I33" s="2">
        <v>0</v>
      </c>
      <c r="J33" s="2">
        <v>0</v>
      </c>
      <c r="K33" s="3">
        <f t="shared" si="0"/>
        <v>1.4899989366531401</v>
      </c>
      <c r="L33" s="2">
        <v>0</v>
      </c>
      <c r="M33" s="2">
        <v>0</v>
      </c>
      <c r="N33" s="2">
        <v>0</v>
      </c>
      <c r="O33" s="2">
        <v>0.96999937295913696</v>
      </c>
      <c r="P33" s="2">
        <v>1.73530626296997</v>
      </c>
      <c r="Q33" s="2">
        <v>0.244023323059082</v>
      </c>
      <c r="R33" s="2">
        <v>1.0299993753433201</v>
      </c>
      <c r="S33" s="2">
        <v>24.030454635620099</v>
      </c>
      <c r="T33" s="2">
        <v>75.981468200683594</v>
      </c>
      <c r="U33" s="2">
        <v>10.076260673743</v>
      </c>
      <c r="V33" s="5">
        <v>682.90654079710305</v>
      </c>
    </row>
    <row r="34" spans="1:22" ht="21" customHeight="1">
      <c r="A34" s="9">
        <v>46170</v>
      </c>
      <c r="B34" s="1">
        <v>1.50999891757965</v>
      </c>
      <c r="C34" s="1">
        <v>1.9735736846923799</v>
      </c>
      <c r="D34" s="1">
        <v>0</v>
      </c>
      <c r="E34" s="1">
        <v>0</v>
      </c>
      <c r="F34" s="1">
        <v>0</v>
      </c>
      <c r="G34" s="1">
        <v>-3.75270843505859E-4</v>
      </c>
      <c r="H34" s="1">
        <v>0</v>
      </c>
      <c r="I34" s="1">
        <v>0</v>
      </c>
      <c r="J34" s="1">
        <v>0</v>
      </c>
      <c r="K34" s="8">
        <f t="shared" si="0"/>
        <v>1.50999891757965</v>
      </c>
      <c r="L34" s="1">
        <v>0</v>
      </c>
      <c r="M34" s="1">
        <v>0</v>
      </c>
      <c r="N34" s="1">
        <v>0</v>
      </c>
      <c r="O34" s="1">
        <v>0.99999934434890703</v>
      </c>
      <c r="P34" s="1">
        <v>4.9622550010681197</v>
      </c>
      <c r="Q34" s="1">
        <v>0</v>
      </c>
      <c r="R34" s="1">
        <v>1.0299993753433201</v>
      </c>
      <c r="S34" s="1">
        <v>23.220436096191399</v>
      </c>
      <c r="T34" s="1">
        <v>76.716537475585895</v>
      </c>
      <c r="U34" s="1">
        <v>9.9278131714291291</v>
      </c>
      <c r="V34" s="7">
        <v>667.61791330513802</v>
      </c>
    </row>
    <row r="35" spans="1:22" ht="21" customHeight="1">
      <c r="A35" s="10">
        <v>46171</v>
      </c>
      <c r="B35" s="4">
        <v>1.5199989080429099</v>
      </c>
      <c r="C35" s="3">
        <v>1.88788509368896</v>
      </c>
      <c r="D35" s="3">
        <v>0.65991830825805697</v>
      </c>
      <c r="E35" s="3">
        <v>0</v>
      </c>
      <c r="F35" s="3">
        <v>0</v>
      </c>
      <c r="G35" s="3">
        <v>-4.80890274047852E-4</v>
      </c>
      <c r="H35" s="3">
        <v>0</v>
      </c>
      <c r="I35" s="3">
        <v>0</v>
      </c>
      <c r="J35" s="4">
        <v>0</v>
      </c>
      <c r="K35" s="3">
        <f t="shared" si="0"/>
        <v>1.5199989080429099</v>
      </c>
      <c r="L35" s="3">
        <v>0</v>
      </c>
      <c r="M35" s="3">
        <v>0</v>
      </c>
      <c r="N35" s="4">
        <v>0</v>
      </c>
      <c r="O35" s="4">
        <v>0.97999936342239402</v>
      </c>
      <c r="P35" s="4">
        <v>1.7058420181274401</v>
      </c>
      <c r="Q35" s="4">
        <v>0.24716973304748499</v>
      </c>
      <c r="R35" s="4">
        <v>1.0199993848800699</v>
      </c>
      <c r="S35" s="2">
        <v>23.370439529418899</v>
      </c>
      <c r="T35" s="2">
        <v>80.774856567382798</v>
      </c>
      <c r="U35" s="2">
        <v>9.6712576963571806</v>
      </c>
      <c r="V35" s="5">
        <v>681.94572820921906</v>
      </c>
    </row>
    <row r="36" spans="1:22" ht="21" customHeight="1">
      <c r="A36" s="9">
        <v>46172</v>
      </c>
      <c r="B36" s="1">
        <v>1.80999863147736</v>
      </c>
      <c r="C36" s="1">
        <v>2.6997623443603498</v>
      </c>
      <c r="D36" s="1">
        <v>1.1250863075256301</v>
      </c>
      <c r="E36" s="1">
        <v>0</v>
      </c>
      <c r="F36" s="1">
        <v>0</v>
      </c>
      <c r="G36" s="1">
        <v>-4.88042831420898E-4</v>
      </c>
      <c r="H36" s="1">
        <v>0</v>
      </c>
      <c r="I36" s="1">
        <v>0</v>
      </c>
      <c r="J36" s="1">
        <v>0</v>
      </c>
      <c r="K36" s="8">
        <f t="shared" si="0"/>
        <v>1.80999863147736</v>
      </c>
      <c r="L36" s="1">
        <v>0</v>
      </c>
      <c r="M36" s="1">
        <v>0</v>
      </c>
      <c r="N36" s="1">
        <v>0</v>
      </c>
      <c r="O36" s="1">
        <v>1.2799991369247401</v>
      </c>
      <c r="P36" s="1">
        <v>2.3223185539245601</v>
      </c>
      <c r="Q36" s="1">
        <v>0.260310888290405</v>
      </c>
      <c r="R36" s="1">
        <v>0.99999934434890703</v>
      </c>
      <c r="S36" s="1">
        <v>24.130456924438501</v>
      </c>
      <c r="T36" s="1">
        <v>83.213409423828097</v>
      </c>
      <c r="U36" s="1">
        <v>10.197339238517401</v>
      </c>
      <c r="V36" s="7">
        <v>665.59280355213605</v>
      </c>
    </row>
    <row r="37" spans="1:22" ht="21" customHeight="1">
      <c r="A37" s="12"/>
      <c r="B37" s="2"/>
      <c r="C37" s="2"/>
      <c r="D37" s="2"/>
      <c r="E37" s="2"/>
      <c r="F37" s="2"/>
      <c r="G37" s="2"/>
      <c r="H37" s="2"/>
      <c r="I37" s="2"/>
      <c r="J37" s="2"/>
      <c r="K37" s="3" t="str">
        <f t="shared" si="0"/>
        <v/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5"/>
    </row>
  </sheetData>
  <mergeCells count="7">
    <mergeCell ref="A2:T3"/>
    <mergeCell ref="U2:V3"/>
    <mergeCell ref="B5:D5"/>
    <mergeCell ref="E5:G5"/>
    <mergeCell ref="H5:J5"/>
    <mergeCell ref="L5:N5"/>
    <mergeCell ref="O5:Q5"/>
  </mergeCells>
  <printOptions horizontalCentered="1"/>
  <pageMargins left="0.25" right="0.25" top="0.75" bottom="0.75" header="0.3" footer="0.3"/>
  <pageSetup scale="72" orientation="landscape" horizontalDpi="300" verticalDpi="300"/>
  <headerFooter>
    <oddHeader>&amp;LHull WWTF&amp;RPrinted on- &amp;D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37"/>
  <sheetViews>
    <sheetView workbookViewId="0"/>
  </sheetViews>
  <sheetFormatPr defaultRowHeight="12"/>
  <cols>
    <col min="1" max="1" width="10.5703125" style="36" customWidth="1"/>
    <col min="2" max="10" width="7" style="24" customWidth="1"/>
    <col min="11" max="11" width="10.85546875" style="24" bestFit="1" customWidth="1"/>
    <col min="12" max="17" width="7" style="24" customWidth="1"/>
    <col min="18" max="18" width="8.5703125" style="19" customWidth="1"/>
    <col min="19" max="19" width="8.42578125" style="19" customWidth="1"/>
    <col min="20" max="20" width="10.42578125" style="19" customWidth="1"/>
    <col min="21" max="21" width="8" style="19" customWidth="1"/>
    <col min="22" max="22" width="7.5703125" style="19" customWidth="1"/>
    <col min="23" max="16384" width="9.140625" style="19"/>
  </cols>
  <sheetData>
    <row r="1" spans="1:22" s="27" customFormat="1" ht="2.25" customHeight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2" ht="18.75" customHeight="1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  <c r="U2" s="48" t="s">
        <v>1</v>
      </c>
      <c r="V2" s="49"/>
    </row>
    <row r="3" spans="1:22" ht="11.25" customHeight="1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  <c r="U3" s="50"/>
      <c r="V3" s="51"/>
    </row>
    <row r="4" spans="1:22" ht="11.25" customHeight="1">
      <c r="A4" s="41"/>
      <c r="B4" s="28"/>
      <c r="C4" s="34"/>
      <c r="D4" s="17"/>
      <c r="E4" s="17"/>
      <c r="F4" s="17"/>
      <c r="G4" s="17"/>
      <c r="H4" s="11"/>
      <c r="I4" s="11"/>
      <c r="J4" s="11"/>
      <c r="K4" s="11"/>
      <c r="L4" s="11"/>
      <c r="M4" s="11"/>
      <c r="N4" s="11"/>
      <c r="O4" s="11"/>
      <c r="P4" s="20"/>
      <c r="Q4" s="20"/>
      <c r="R4" s="37"/>
      <c r="S4" s="23" t="s">
        <v>2</v>
      </c>
      <c r="T4" s="38" t="s">
        <v>2</v>
      </c>
      <c r="U4" s="30"/>
      <c r="V4" s="33"/>
    </row>
    <row r="5" spans="1:22" ht="13.5" customHeight="1">
      <c r="A5" s="25"/>
      <c r="B5" s="52" t="s">
        <v>3</v>
      </c>
      <c r="C5" s="53"/>
      <c r="D5" s="54"/>
      <c r="E5" s="52" t="s">
        <v>4</v>
      </c>
      <c r="F5" s="53"/>
      <c r="G5" s="54"/>
      <c r="H5" s="55" t="s">
        <v>5</v>
      </c>
      <c r="I5" s="55"/>
      <c r="J5" s="55"/>
      <c r="K5" s="16" t="s">
        <v>6</v>
      </c>
      <c r="L5" s="52" t="s">
        <v>7</v>
      </c>
      <c r="M5" s="53"/>
      <c r="N5" s="54"/>
      <c r="O5" s="52" t="s">
        <v>8</v>
      </c>
      <c r="P5" s="53"/>
      <c r="Q5" s="54"/>
      <c r="R5" s="40" t="s">
        <v>9</v>
      </c>
      <c r="S5" s="31" t="s">
        <v>10</v>
      </c>
      <c r="T5" s="18" t="s">
        <v>11</v>
      </c>
      <c r="U5" s="32" t="s">
        <v>12</v>
      </c>
      <c r="V5" s="18" t="s">
        <v>13</v>
      </c>
    </row>
    <row r="6" spans="1:22" s="29" customFormat="1">
      <c r="A6" s="22" t="s">
        <v>14</v>
      </c>
      <c r="B6" s="13" t="s">
        <v>15</v>
      </c>
      <c r="C6" s="14" t="s">
        <v>16</v>
      </c>
      <c r="D6" s="15" t="s">
        <v>17</v>
      </c>
      <c r="E6" s="13" t="s">
        <v>15</v>
      </c>
      <c r="F6" s="14" t="s">
        <v>16</v>
      </c>
      <c r="G6" s="15" t="s">
        <v>17</v>
      </c>
      <c r="H6" s="13" t="s">
        <v>15</v>
      </c>
      <c r="I6" s="14" t="s">
        <v>16</v>
      </c>
      <c r="J6" s="15" t="s">
        <v>17</v>
      </c>
      <c r="K6" s="13" t="s">
        <v>18</v>
      </c>
      <c r="L6" s="39" t="s">
        <v>15</v>
      </c>
      <c r="M6" s="14" t="s">
        <v>16</v>
      </c>
      <c r="N6" s="15" t="s">
        <v>17</v>
      </c>
      <c r="O6" s="13" t="s">
        <v>15</v>
      </c>
      <c r="P6" s="14" t="s">
        <v>16</v>
      </c>
      <c r="Q6" s="15" t="s">
        <v>17</v>
      </c>
      <c r="R6" s="13" t="s">
        <v>15</v>
      </c>
      <c r="S6" s="21" t="s">
        <v>15</v>
      </c>
      <c r="T6" s="21" t="s">
        <v>15</v>
      </c>
      <c r="U6" s="26" t="s">
        <v>19</v>
      </c>
      <c r="V6" s="35" t="s">
        <v>19</v>
      </c>
    </row>
    <row r="7" spans="1:22" ht="21" customHeight="1">
      <c r="A7" s="10">
        <v>46174</v>
      </c>
      <c r="B7" s="4">
        <v>1.6499987840652499</v>
      </c>
      <c r="C7" s="3">
        <v>1.9002590179443399</v>
      </c>
      <c r="D7" s="3">
        <v>0.94968938827514604</v>
      </c>
      <c r="E7" s="3">
        <v>0</v>
      </c>
      <c r="F7" s="3">
        <v>0</v>
      </c>
      <c r="G7" s="3">
        <v>-2.60829925537109E-4</v>
      </c>
      <c r="H7" s="3">
        <v>0</v>
      </c>
      <c r="I7" s="3">
        <v>0</v>
      </c>
      <c r="J7" s="4">
        <v>0</v>
      </c>
      <c r="K7" s="3">
        <f t="shared" ref="K7:K37" si="0">IF(B7="","",B7+E7+H7)</f>
        <v>1.6499987840652499</v>
      </c>
      <c r="L7" s="3">
        <v>0</v>
      </c>
      <c r="M7" s="3">
        <v>0</v>
      </c>
      <c r="N7" s="4">
        <v>0</v>
      </c>
      <c r="O7" s="4">
        <v>1.1199992895126301</v>
      </c>
      <c r="P7" s="4">
        <v>1.7228808403015099</v>
      </c>
      <c r="Q7" s="4">
        <v>0.25373029708862299</v>
      </c>
      <c r="R7" s="4">
        <v>0.95999938249588002</v>
      </c>
      <c r="S7" s="2">
        <v>24.090456008911101</v>
      </c>
      <c r="T7" s="2">
        <v>84.242607116699205</v>
      </c>
      <c r="U7" s="2">
        <v>10.0334619133733</v>
      </c>
      <c r="V7" s="5">
        <v>628.06819039371999</v>
      </c>
    </row>
    <row r="8" spans="1:22" ht="21" customHeight="1">
      <c r="A8" s="9">
        <v>46175</v>
      </c>
      <c r="B8" s="1">
        <v>1.54999887943268</v>
      </c>
      <c r="C8" s="1">
        <v>1.8991937637329099</v>
      </c>
      <c r="D8" s="1">
        <v>0.69445848464965798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8">
        <f t="shared" si="0"/>
        <v>1.54999887943268</v>
      </c>
      <c r="L8" s="1">
        <v>0</v>
      </c>
      <c r="M8" s="1">
        <v>0</v>
      </c>
      <c r="N8" s="1">
        <v>0</v>
      </c>
      <c r="O8" s="1">
        <v>1.0199993848800699</v>
      </c>
      <c r="P8" s="1">
        <v>1.6455259323120099</v>
      </c>
      <c r="Q8" s="1">
        <v>0.26739406585693398</v>
      </c>
      <c r="R8" s="1">
        <v>0.93999940156936601</v>
      </c>
      <c r="S8" s="1">
        <v>24.410463333129901</v>
      </c>
      <c r="T8" s="1">
        <v>81.379135131835895</v>
      </c>
      <c r="U8" s="1">
        <v>9.7008428325083091</v>
      </c>
      <c r="V8" s="7">
        <v>714.05272729169803</v>
      </c>
    </row>
    <row r="9" spans="1:22" ht="21" customHeight="1">
      <c r="A9" s="12">
        <v>46176</v>
      </c>
      <c r="B9" s="2">
        <v>1.49999892711639</v>
      </c>
      <c r="C9" s="2">
        <v>1.82258129119873</v>
      </c>
      <c r="D9" s="2">
        <v>0.78790283203125</v>
      </c>
      <c r="E9" s="2">
        <v>0</v>
      </c>
      <c r="F9" s="2">
        <v>0</v>
      </c>
      <c r="G9" s="2">
        <v>-3.5905838012695302E-4</v>
      </c>
      <c r="H9" s="2">
        <v>0</v>
      </c>
      <c r="I9" s="2">
        <v>0</v>
      </c>
      <c r="J9" s="2">
        <v>0</v>
      </c>
      <c r="K9" s="3">
        <f t="shared" si="0"/>
        <v>1.49999892711639</v>
      </c>
      <c r="L9" s="2">
        <v>0</v>
      </c>
      <c r="M9" s="2">
        <v>0</v>
      </c>
      <c r="N9" s="2">
        <v>0</v>
      </c>
      <c r="O9" s="2">
        <v>0.95999938249588002</v>
      </c>
      <c r="P9" s="2">
        <v>1.6075267791748</v>
      </c>
      <c r="Q9" s="2">
        <v>0.27075076103210399</v>
      </c>
      <c r="R9" s="2">
        <v>0.95999938249588002</v>
      </c>
      <c r="S9" s="2">
        <v>23.810449600219702</v>
      </c>
      <c r="T9" s="2">
        <v>78.111907958984403</v>
      </c>
      <c r="U9" s="2">
        <v>9.2447319060584707</v>
      </c>
      <c r="V9" s="5">
        <v>710.00780041173095</v>
      </c>
    </row>
    <row r="10" spans="1:22" ht="21" customHeight="1">
      <c r="A10" s="9">
        <v>46177</v>
      </c>
      <c r="B10" s="1">
        <v>1.4799989461898799</v>
      </c>
      <c r="C10" s="1">
        <v>1.8717966079711901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8">
        <f t="shared" si="0"/>
        <v>1.4799989461898799</v>
      </c>
      <c r="L10" s="1">
        <v>0</v>
      </c>
      <c r="M10" s="1">
        <v>0</v>
      </c>
      <c r="N10" s="1">
        <v>0</v>
      </c>
      <c r="O10" s="1">
        <v>0.93999940156936601</v>
      </c>
      <c r="P10" s="1">
        <v>1.5934371948242201</v>
      </c>
      <c r="Q10" s="1">
        <v>0</v>
      </c>
      <c r="R10" s="1">
        <v>0.92999941110610995</v>
      </c>
      <c r="S10" s="1">
        <v>24.100456237793001</v>
      </c>
      <c r="T10" s="1">
        <v>80.946037292480497</v>
      </c>
      <c r="U10" s="1">
        <v>10.729175483128399</v>
      </c>
      <c r="V10" s="7">
        <v>639.94375251944996</v>
      </c>
    </row>
    <row r="11" spans="1:22" ht="21" customHeight="1">
      <c r="A11" s="10">
        <v>46178</v>
      </c>
      <c r="B11" s="4">
        <v>1.4499989748001101</v>
      </c>
      <c r="C11" s="3">
        <v>1.8224134445190401</v>
      </c>
      <c r="D11" s="3">
        <v>0.43248558044433599</v>
      </c>
      <c r="E11" s="3">
        <v>0</v>
      </c>
      <c r="F11" s="3">
        <v>0</v>
      </c>
      <c r="G11" s="3">
        <v>-5.4717063903808605E-4</v>
      </c>
      <c r="H11" s="3">
        <v>0</v>
      </c>
      <c r="I11" s="3">
        <v>0</v>
      </c>
      <c r="J11" s="4">
        <v>0</v>
      </c>
      <c r="K11" s="3">
        <f t="shared" si="0"/>
        <v>1.4499989748001101</v>
      </c>
      <c r="L11" s="3">
        <v>0</v>
      </c>
      <c r="M11" s="3">
        <v>0</v>
      </c>
      <c r="N11" s="4">
        <v>0</v>
      </c>
      <c r="O11" s="4">
        <v>0.92999941110610995</v>
      </c>
      <c r="P11" s="4">
        <v>1.5634412765502901</v>
      </c>
      <c r="Q11" s="4">
        <v>0.259152412414551</v>
      </c>
      <c r="R11" s="4">
        <v>0.96999937295913696</v>
      </c>
      <c r="S11" s="2">
        <v>23.780448913574201</v>
      </c>
      <c r="T11" s="2">
        <v>83.410682678222699</v>
      </c>
      <c r="U11" s="2">
        <v>9.9642204327083004</v>
      </c>
      <c r="V11" s="5">
        <v>697.94721595705801</v>
      </c>
    </row>
    <row r="12" spans="1:22" ht="21" customHeight="1">
      <c r="A12" s="9">
        <v>46179</v>
      </c>
      <c r="B12" s="1">
        <v>1.49999892711639</v>
      </c>
      <c r="C12" s="1">
        <v>1.87814617156982</v>
      </c>
      <c r="D12" s="1">
        <v>0.87319755554199197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8">
        <f t="shared" si="0"/>
        <v>1.49999892711639</v>
      </c>
      <c r="L12" s="1">
        <v>0</v>
      </c>
      <c r="M12" s="1">
        <v>0</v>
      </c>
      <c r="N12" s="1">
        <v>0</v>
      </c>
      <c r="O12" s="1">
        <v>0.95999938249588002</v>
      </c>
      <c r="P12" s="1">
        <v>1.6358699798584</v>
      </c>
      <c r="Q12" s="1">
        <v>0.25744557380676297</v>
      </c>
      <c r="R12" s="1">
        <v>0.98999935388565097</v>
      </c>
      <c r="S12" s="1">
        <v>23.710447311401399</v>
      </c>
      <c r="T12" s="1">
        <v>78.215484619140597</v>
      </c>
      <c r="U12" s="1">
        <v>9.3392669142245293</v>
      </c>
      <c r="V12" s="7">
        <v>681.91179720074695</v>
      </c>
    </row>
    <row r="13" spans="1:22" ht="21" customHeight="1">
      <c r="A13" s="12">
        <v>46180</v>
      </c>
      <c r="B13" s="2">
        <v>1.54999887943268</v>
      </c>
      <c r="C13" s="2">
        <v>1.96946144104004</v>
      </c>
      <c r="D13" s="2">
        <v>1.041344165802</v>
      </c>
      <c r="E13" s="2">
        <v>0</v>
      </c>
      <c r="F13" s="2">
        <v>0</v>
      </c>
      <c r="G13" s="2">
        <v>-6.7973136901855501E-4</v>
      </c>
      <c r="H13" s="2">
        <v>0</v>
      </c>
      <c r="I13" s="2">
        <v>0</v>
      </c>
      <c r="J13" s="2">
        <v>0</v>
      </c>
      <c r="K13" s="3">
        <f t="shared" si="0"/>
        <v>1.54999887943268</v>
      </c>
      <c r="L13" s="2">
        <v>0</v>
      </c>
      <c r="M13" s="2">
        <v>0</v>
      </c>
      <c r="N13" s="2">
        <v>0</v>
      </c>
      <c r="O13" s="2">
        <v>1.00999939441681</v>
      </c>
      <c r="P13" s="2">
        <v>1.7186188697814899</v>
      </c>
      <c r="Q13" s="2">
        <v>0.256075859069824</v>
      </c>
      <c r="R13" s="2">
        <v>1.0199993848800699</v>
      </c>
      <c r="S13" s="2">
        <v>23.050432205200199</v>
      </c>
      <c r="T13" s="2">
        <v>85.855354309082003</v>
      </c>
      <c r="U13" s="2">
        <v>9.5533278888095303</v>
      </c>
      <c r="V13" s="5">
        <v>606.270186476611</v>
      </c>
    </row>
    <row r="14" spans="1:22" ht="21" customHeight="1">
      <c r="A14" s="9">
        <v>46181</v>
      </c>
      <c r="B14" s="1">
        <v>1.4399989843368499</v>
      </c>
      <c r="C14" s="1">
        <v>1.86126613616943</v>
      </c>
      <c r="D14" s="1">
        <v>0.777049541473389</v>
      </c>
      <c r="E14" s="1">
        <v>0</v>
      </c>
      <c r="F14" s="1">
        <v>0</v>
      </c>
      <c r="G14" s="1">
        <v>-6.1678886413574197E-4</v>
      </c>
      <c r="H14" s="1">
        <v>0</v>
      </c>
      <c r="I14" s="1">
        <v>0</v>
      </c>
      <c r="J14" s="1">
        <v>0</v>
      </c>
      <c r="K14" s="8">
        <f t="shared" si="0"/>
        <v>1.4399989843368499</v>
      </c>
      <c r="L14" s="1">
        <v>0</v>
      </c>
      <c r="M14" s="1">
        <v>0</v>
      </c>
      <c r="N14" s="1">
        <v>0</v>
      </c>
      <c r="O14" s="1">
        <v>0.90999943017959595</v>
      </c>
      <c r="P14" s="1">
        <v>1.61326026916504</v>
      </c>
      <c r="Q14" s="1">
        <v>0.24680376052856401</v>
      </c>
      <c r="R14" s="1">
        <v>0.99999934434890703</v>
      </c>
      <c r="S14" s="1">
        <v>24.2104587554932</v>
      </c>
      <c r="T14" s="1">
        <v>87.642318725585895</v>
      </c>
      <c r="U14" s="1">
        <v>9.8440722912197902</v>
      </c>
      <c r="V14" s="7">
        <v>625.31365971038394</v>
      </c>
    </row>
    <row r="15" spans="1:22" ht="21" customHeight="1">
      <c r="A15" s="10">
        <v>46182</v>
      </c>
      <c r="B15" s="4">
        <v>1.38999903202057</v>
      </c>
      <c r="C15" s="3">
        <v>1.7814741134643599</v>
      </c>
      <c r="D15" s="3">
        <v>0.55407190322875999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0</v>
      </c>
      <c r="K15" s="3">
        <f t="shared" si="0"/>
        <v>1.38999903202057</v>
      </c>
      <c r="L15" s="3">
        <v>0</v>
      </c>
      <c r="M15" s="3">
        <v>0</v>
      </c>
      <c r="N15" s="4">
        <v>0</v>
      </c>
      <c r="O15" s="4">
        <v>0.85999947786331199</v>
      </c>
      <c r="P15" s="4">
        <v>1.58170318603516</v>
      </c>
      <c r="Q15" s="4">
        <v>0.25200510025024397</v>
      </c>
      <c r="R15" s="4">
        <v>1.0299993753433201</v>
      </c>
      <c r="S15" s="2">
        <v>24.980476379394499</v>
      </c>
      <c r="T15" s="2">
        <v>79.026359558105497</v>
      </c>
      <c r="U15" s="2">
        <v>9.9358053432726994</v>
      </c>
      <c r="V15" s="5">
        <v>709.52625478780305</v>
      </c>
    </row>
    <row r="16" spans="1:22" ht="21" customHeight="1">
      <c r="A16" s="9">
        <v>46183</v>
      </c>
      <c r="B16" s="1">
        <v>1.41999900341034</v>
      </c>
      <c r="C16" s="1">
        <v>2.1804389953613299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0.81920981407165505</v>
      </c>
      <c r="J16" s="1">
        <v>0</v>
      </c>
      <c r="K16" s="8">
        <f t="shared" si="0"/>
        <v>1.41999900341034</v>
      </c>
      <c r="L16" s="1">
        <v>0</v>
      </c>
      <c r="M16" s="1">
        <v>0</v>
      </c>
      <c r="N16" s="1">
        <v>0</v>
      </c>
      <c r="O16" s="1">
        <v>0.85999947786331199</v>
      </c>
      <c r="P16" s="1">
        <v>1.9085512161254901</v>
      </c>
      <c r="Q16" s="1">
        <v>0</v>
      </c>
      <c r="R16" s="1">
        <v>1.0299993753433201</v>
      </c>
      <c r="S16" s="1">
        <v>24.350461959838899</v>
      </c>
      <c r="T16" s="1">
        <v>75.530662536621094</v>
      </c>
      <c r="U16" s="1">
        <v>9.9199069194946095</v>
      </c>
      <c r="V16" s="7">
        <v>683.480974166902</v>
      </c>
    </row>
    <row r="17" spans="1:22" ht="21" customHeight="1">
      <c r="A17" s="12">
        <v>46184</v>
      </c>
      <c r="B17" s="2">
        <v>1.49999892711639</v>
      </c>
      <c r="C17" s="2">
        <v>2.16095066070557</v>
      </c>
      <c r="D17" s="2">
        <v>0.42054033279418901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3">
        <f t="shared" si="0"/>
        <v>1.49999892711639</v>
      </c>
      <c r="L17" s="2">
        <v>0</v>
      </c>
      <c r="M17" s="2">
        <v>0</v>
      </c>
      <c r="N17" s="2">
        <v>0</v>
      </c>
      <c r="O17" s="2">
        <v>0.92999941110610995</v>
      </c>
      <c r="P17" s="2">
        <v>1.5900621414184599</v>
      </c>
      <c r="Q17" s="2">
        <v>0</v>
      </c>
      <c r="R17" s="2">
        <v>1.0599993467330899</v>
      </c>
      <c r="S17" s="2">
        <v>23.610445022583001</v>
      </c>
      <c r="T17" s="2">
        <v>75.540573120117202</v>
      </c>
      <c r="U17" s="2">
        <v>9.9861992397931303</v>
      </c>
      <c r="V17" s="5">
        <v>685.37207260290904</v>
      </c>
    </row>
    <row r="18" spans="1:22" ht="21" customHeight="1">
      <c r="A18" s="9">
        <v>46185</v>
      </c>
      <c r="B18" s="1">
        <v>1.5799988508224501</v>
      </c>
      <c r="C18" s="1">
        <v>2.31711006164551</v>
      </c>
      <c r="D18" s="1">
        <v>1.02680015563965</v>
      </c>
      <c r="E18" s="1">
        <v>0</v>
      </c>
      <c r="F18" s="1">
        <v>0</v>
      </c>
      <c r="G18" s="1">
        <v>-7.8320503234863303E-4</v>
      </c>
      <c r="H18" s="1">
        <v>0</v>
      </c>
      <c r="I18" s="1">
        <v>0</v>
      </c>
      <c r="J18" s="1">
        <v>0</v>
      </c>
      <c r="K18" s="8">
        <f t="shared" si="0"/>
        <v>1.5799988508224501</v>
      </c>
      <c r="L18" s="1">
        <v>0</v>
      </c>
      <c r="M18" s="1">
        <v>0</v>
      </c>
      <c r="N18" s="1">
        <v>0</v>
      </c>
      <c r="O18" s="1">
        <v>1.0199993848800699</v>
      </c>
      <c r="P18" s="1">
        <v>1.7455153465271001</v>
      </c>
      <c r="Q18" s="1">
        <v>0.50024485588073697</v>
      </c>
      <c r="R18" s="1">
        <v>1.0699993371963501</v>
      </c>
      <c r="S18" s="1">
        <v>23.610445022583001</v>
      </c>
      <c r="T18" s="1">
        <v>75.949028015136705</v>
      </c>
      <c r="U18" s="1">
        <v>9.2654206635141794</v>
      </c>
      <c r="V18" s="7">
        <v>720.97714256726704</v>
      </c>
    </row>
    <row r="19" spans="1:22" ht="21" customHeight="1">
      <c r="A19" s="10">
        <v>46186</v>
      </c>
      <c r="B19" s="4">
        <v>1.6899987459182699</v>
      </c>
      <c r="C19" s="3">
        <v>2.4303417205810498</v>
      </c>
      <c r="D19" s="3">
        <v>1.07938957214355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0</v>
      </c>
      <c r="K19" s="3">
        <f t="shared" si="0"/>
        <v>1.6899987459182699</v>
      </c>
      <c r="L19" s="3">
        <v>0</v>
      </c>
      <c r="M19" s="3">
        <v>0</v>
      </c>
      <c r="N19" s="4">
        <v>0</v>
      </c>
      <c r="O19" s="4">
        <v>1.1399992704391499</v>
      </c>
      <c r="P19" s="4">
        <v>1.8361635208129901</v>
      </c>
      <c r="Q19" s="4">
        <v>0.52398157119750999</v>
      </c>
      <c r="R19" s="4">
        <v>1.03999936580658</v>
      </c>
      <c r="S19" s="2">
        <v>24.330461502075199</v>
      </c>
      <c r="T19" s="2">
        <v>74.955718994140597</v>
      </c>
      <c r="U19" s="2">
        <v>9.2447255911969606</v>
      </c>
      <c r="V19" s="5">
        <v>678.11086762556204</v>
      </c>
    </row>
    <row r="20" spans="1:22" ht="21" customHeight="1">
      <c r="A20" s="9">
        <v>46187</v>
      </c>
      <c r="B20" s="1">
        <v>1.7899986505508401</v>
      </c>
      <c r="C20" s="1">
        <v>2.50788402557373</v>
      </c>
      <c r="D20" s="1">
        <v>1.10509586334229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8">
        <f t="shared" si="0"/>
        <v>1.7899986505508401</v>
      </c>
      <c r="L20" s="1">
        <v>0</v>
      </c>
      <c r="M20" s="1">
        <v>0</v>
      </c>
      <c r="N20" s="1">
        <v>0</v>
      </c>
      <c r="O20" s="1">
        <v>1.2399991750717201</v>
      </c>
      <c r="P20" s="1">
        <v>1.9312596321105999</v>
      </c>
      <c r="Q20" s="1">
        <v>0.62357640266418501</v>
      </c>
      <c r="R20" s="1">
        <v>1.04999935626984</v>
      </c>
      <c r="S20" s="1">
        <v>24.330461502075199</v>
      </c>
      <c r="T20" s="1">
        <v>78.200592041015597</v>
      </c>
      <c r="U20" s="1">
        <v>9.8704189813493297</v>
      </c>
      <c r="V20" s="7">
        <v>620.31761079301805</v>
      </c>
    </row>
    <row r="21" spans="1:22" ht="21" customHeight="1">
      <c r="A21" s="12">
        <v>46188</v>
      </c>
      <c r="B21" s="2">
        <v>1.80999863147736</v>
      </c>
      <c r="C21" s="2">
        <v>2.61794185638428</v>
      </c>
      <c r="D21" s="2">
        <v>0.776949882507324</v>
      </c>
      <c r="E21" s="2">
        <v>0</v>
      </c>
      <c r="F21" s="2">
        <v>0</v>
      </c>
      <c r="G21" s="2">
        <v>-8.1896781921386697E-4</v>
      </c>
      <c r="H21" s="2">
        <v>0</v>
      </c>
      <c r="I21" s="2">
        <v>0</v>
      </c>
      <c r="J21" s="2">
        <v>0</v>
      </c>
      <c r="K21" s="3">
        <f t="shared" si="0"/>
        <v>1.80999863147736</v>
      </c>
      <c r="L21" s="2">
        <v>0</v>
      </c>
      <c r="M21" s="2">
        <v>0</v>
      </c>
      <c r="N21" s="2">
        <v>0</v>
      </c>
      <c r="O21" s="2">
        <v>1.2699991464614899</v>
      </c>
      <c r="P21" s="2">
        <v>2.2222976684570299</v>
      </c>
      <c r="Q21" s="2">
        <v>0</v>
      </c>
      <c r="R21" s="2">
        <v>1.03999936580658</v>
      </c>
      <c r="S21" s="2">
        <v>24.750471115112301</v>
      </c>
      <c r="T21" s="2">
        <v>79.366264343261705</v>
      </c>
      <c r="U21" s="2">
        <v>8.7149827988964592</v>
      </c>
      <c r="V21" s="5">
        <v>708.11976013819799</v>
      </c>
    </row>
    <row r="22" spans="1:22" ht="21" customHeight="1">
      <c r="A22" s="9">
        <v>46189</v>
      </c>
      <c r="B22" s="1">
        <v>1.8599985837936399</v>
      </c>
      <c r="C22" s="1">
        <v>2.5746717453002899</v>
      </c>
      <c r="D22" s="1">
        <v>1.1779303550720199</v>
      </c>
      <c r="E22" s="1">
        <v>0</v>
      </c>
      <c r="F22" s="1">
        <v>0</v>
      </c>
      <c r="G22" s="1">
        <v>-7.5292587280273405E-4</v>
      </c>
      <c r="H22" s="1">
        <v>0</v>
      </c>
      <c r="I22" s="1">
        <v>0</v>
      </c>
      <c r="J22" s="1">
        <v>0</v>
      </c>
      <c r="K22" s="8">
        <f t="shared" si="0"/>
        <v>1.8599985837936399</v>
      </c>
      <c r="L22" s="1">
        <v>0</v>
      </c>
      <c r="M22" s="1">
        <v>0</v>
      </c>
      <c r="N22" s="1">
        <v>0</v>
      </c>
      <c r="O22" s="1">
        <v>1.3099991083145099</v>
      </c>
      <c r="P22" s="1">
        <v>2.0059561729431201</v>
      </c>
      <c r="Q22" s="1">
        <v>0.51436448097229004</v>
      </c>
      <c r="R22" s="1">
        <v>1.04999935626984</v>
      </c>
      <c r="S22" s="1">
        <v>24.5504665374756</v>
      </c>
      <c r="T22" s="1">
        <v>77.580490112304702</v>
      </c>
      <c r="U22" s="1">
        <v>8.3351034163765991</v>
      </c>
      <c r="V22" s="7">
        <v>733.49395450806799</v>
      </c>
    </row>
    <row r="23" spans="1:22" ht="21" customHeight="1">
      <c r="A23" s="10">
        <v>46190</v>
      </c>
      <c r="B23" s="4">
        <v>1.8299986124038701</v>
      </c>
      <c r="C23" s="3">
        <v>2.3263530731201199</v>
      </c>
      <c r="D23" s="3">
        <v>1.0998835563659699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0</v>
      </c>
      <c r="K23" s="3">
        <f t="shared" si="0"/>
        <v>1.8299986124038701</v>
      </c>
      <c r="L23" s="3">
        <v>0</v>
      </c>
      <c r="M23" s="3">
        <v>0</v>
      </c>
      <c r="N23" s="4">
        <v>0</v>
      </c>
      <c r="O23" s="4">
        <v>1.2799991369247401</v>
      </c>
      <c r="P23" s="4">
        <v>1.75008821487427</v>
      </c>
      <c r="Q23" s="4">
        <v>0.593209028244019</v>
      </c>
      <c r="R23" s="4">
        <v>1.04999935626984</v>
      </c>
      <c r="S23" s="2">
        <v>24.300460815429702</v>
      </c>
      <c r="T23" s="2">
        <v>74.017990112304702</v>
      </c>
      <c r="U23" s="2">
        <v>8.9116640707285093</v>
      </c>
      <c r="V23" s="5">
        <v>700.62374761288504</v>
      </c>
    </row>
    <row r="24" spans="1:22" ht="21" customHeight="1">
      <c r="A24" s="9">
        <v>46191</v>
      </c>
      <c r="B24" s="1">
        <v>1.83999860286713</v>
      </c>
      <c r="C24" s="1">
        <v>4.8672590255737296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0.23700332641601601</v>
      </c>
      <c r="J24" s="1">
        <v>0</v>
      </c>
      <c r="K24" s="8">
        <f t="shared" si="0"/>
        <v>1.83999860286713</v>
      </c>
      <c r="L24" s="1">
        <v>0</v>
      </c>
      <c r="M24" s="1">
        <v>0</v>
      </c>
      <c r="N24" s="1">
        <v>0</v>
      </c>
      <c r="O24" s="1">
        <v>1.289999127388</v>
      </c>
      <c r="P24" s="1">
        <v>2.0357251167297399</v>
      </c>
      <c r="Q24" s="1">
        <v>0</v>
      </c>
      <c r="R24" s="1">
        <v>1.07999932765961</v>
      </c>
      <c r="S24" s="1">
        <v>24.030454635620099</v>
      </c>
      <c r="T24" s="1">
        <v>76.179580688476605</v>
      </c>
      <c r="U24" s="1">
        <v>10.8453959518197</v>
      </c>
      <c r="V24" s="7">
        <v>632.867406663</v>
      </c>
    </row>
    <row r="25" spans="1:22" ht="21" customHeight="1">
      <c r="A25" s="12">
        <v>46192</v>
      </c>
      <c r="B25" s="2">
        <v>1.83999860286713</v>
      </c>
      <c r="C25" s="2">
        <v>2.2120265960693399</v>
      </c>
      <c r="D25" s="2">
        <v>1.2388501167297401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3">
        <f t="shared" si="0"/>
        <v>1.83999860286713</v>
      </c>
      <c r="L25" s="2">
        <v>0</v>
      </c>
      <c r="M25" s="2">
        <v>0</v>
      </c>
      <c r="N25" s="2">
        <v>0</v>
      </c>
      <c r="O25" s="2">
        <v>1.3199990987777701</v>
      </c>
      <c r="P25" s="2">
        <v>1.6515426635742201</v>
      </c>
      <c r="Q25" s="2">
        <v>0.75950503349304199</v>
      </c>
      <c r="R25" s="2">
        <v>1.0599993467330899</v>
      </c>
      <c r="S25" s="2">
        <v>24.040454864501999</v>
      </c>
      <c r="T25" s="2">
        <v>77.384208679199205</v>
      </c>
      <c r="U25" s="2">
        <v>9.1966720563368192</v>
      </c>
      <c r="V25" s="5">
        <v>711.95404685862104</v>
      </c>
    </row>
    <row r="26" spans="1:22" ht="21" customHeight="1">
      <c r="A26" s="9">
        <v>46193</v>
      </c>
      <c r="B26" s="1">
        <v>1.70999872684479</v>
      </c>
      <c r="C26" s="1">
        <v>2.1143465042114298</v>
      </c>
      <c r="D26" s="1">
        <v>1.1924066543579099</v>
      </c>
      <c r="E26" s="1">
        <v>0</v>
      </c>
      <c r="F26" s="1">
        <v>0</v>
      </c>
      <c r="G26" s="1">
        <v>-7.3504447937011697E-4</v>
      </c>
      <c r="H26" s="1">
        <v>0</v>
      </c>
      <c r="I26" s="1">
        <v>0</v>
      </c>
      <c r="J26" s="1">
        <v>0</v>
      </c>
      <c r="K26" s="8">
        <f t="shared" si="0"/>
        <v>1.70999872684479</v>
      </c>
      <c r="L26" s="1">
        <v>0</v>
      </c>
      <c r="M26" s="1">
        <v>0</v>
      </c>
      <c r="N26" s="1">
        <v>0</v>
      </c>
      <c r="O26" s="1">
        <v>1.17999923229218</v>
      </c>
      <c r="P26" s="1">
        <v>1.5241851806640601</v>
      </c>
      <c r="Q26" s="1">
        <v>0.67240977287292503</v>
      </c>
      <c r="R26" s="1">
        <v>1.0599993467330899</v>
      </c>
      <c r="S26" s="1">
        <v>25.130479812622099</v>
      </c>
      <c r="T26" s="1">
        <v>78.0087890625</v>
      </c>
      <c r="U26" s="1">
        <v>9.0324380452472202</v>
      </c>
      <c r="V26" s="7">
        <v>707.96529347603303</v>
      </c>
    </row>
    <row r="27" spans="1:22" ht="21" customHeight="1">
      <c r="A27" s="10">
        <v>46194</v>
      </c>
      <c r="B27" s="4">
        <v>1.6499987840652499</v>
      </c>
      <c r="C27" s="3">
        <v>2.1456222534179701</v>
      </c>
      <c r="D27" s="3">
        <v>1.0845351219177199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0</v>
      </c>
      <c r="K27" s="3">
        <f t="shared" si="0"/>
        <v>1.6499987840652499</v>
      </c>
      <c r="L27" s="3">
        <v>0</v>
      </c>
      <c r="M27" s="3">
        <v>0</v>
      </c>
      <c r="N27" s="4">
        <v>0</v>
      </c>
      <c r="O27" s="4">
        <v>1.1199992895126301</v>
      </c>
      <c r="P27" s="4">
        <v>1.5641498565673799</v>
      </c>
      <c r="Q27" s="4">
        <v>0.532476186752319</v>
      </c>
      <c r="R27" s="4">
        <v>1.0699993371963501</v>
      </c>
      <c r="S27" s="2">
        <v>25.1804809570313</v>
      </c>
      <c r="T27" s="2">
        <v>77.213211059570298</v>
      </c>
      <c r="U27" s="2">
        <v>9.8001479290689808</v>
      </c>
      <c r="V27" s="5">
        <v>388.67743925156901</v>
      </c>
    </row>
    <row r="28" spans="1:22" ht="21" customHeight="1">
      <c r="A28" s="9">
        <v>46195</v>
      </c>
      <c r="B28" s="1">
        <v>1.54999887943268</v>
      </c>
      <c r="C28" s="1">
        <v>2.04986572265625</v>
      </c>
      <c r="D28" s="1">
        <v>0.89835596084594704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8">
        <f t="shared" si="0"/>
        <v>1.54999887943268</v>
      </c>
      <c r="L28" s="1">
        <v>0</v>
      </c>
      <c r="M28" s="1">
        <v>0</v>
      </c>
      <c r="N28" s="1">
        <v>0</v>
      </c>
      <c r="O28" s="1">
        <v>1.00999939441681</v>
      </c>
      <c r="P28" s="1">
        <v>1.4693746566772501</v>
      </c>
      <c r="Q28" s="1">
        <v>0.44138860702514598</v>
      </c>
      <c r="R28" s="1">
        <v>1.0699993371963501</v>
      </c>
      <c r="S28" s="1">
        <v>25.380485534668001</v>
      </c>
      <c r="T28" s="1">
        <v>77.860336303710895</v>
      </c>
      <c r="U28" s="1">
        <v>10.024769664721999</v>
      </c>
      <c r="V28" s="7">
        <v>332.18307522686899</v>
      </c>
    </row>
    <row r="29" spans="1:22" ht="21" customHeight="1">
      <c r="A29" s="12">
        <v>46196</v>
      </c>
      <c r="B29" s="2">
        <v>1.5299988985061601</v>
      </c>
      <c r="C29" s="2">
        <v>1.95805835723877</v>
      </c>
      <c r="D29" s="2">
        <v>0.98929786682128895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3">
        <f t="shared" si="0"/>
        <v>1.5299988985061601</v>
      </c>
      <c r="L29" s="2">
        <v>0</v>
      </c>
      <c r="M29" s="2">
        <v>0</v>
      </c>
      <c r="N29" s="2">
        <v>0</v>
      </c>
      <c r="O29" s="2">
        <v>1.00999939441681</v>
      </c>
      <c r="P29" s="2">
        <v>1.39943695068359</v>
      </c>
      <c r="Q29" s="2">
        <v>0.485222578048706</v>
      </c>
      <c r="R29" s="2">
        <v>1.08999931812286</v>
      </c>
      <c r="S29" s="2">
        <v>24.910474777221701</v>
      </c>
      <c r="T29" s="2">
        <v>75.433479309082003</v>
      </c>
      <c r="U29" s="2">
        <v>10.2671729053679</v>
      </c>
      <c r="V29" s="5">
        <v>634.856953167808</v>
      </c>
    </row>
    <row r="30" spans="1:22" ht="21" customHeight="1">
      <c r="A30" s="9">
        <v>46197</v>
      </c>
      <c r="B30" s="1">
        <v>1.4899989366531401</v>
      </c>
      <c r="C30" s="1">
        <v>2.5894346237182599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0.95280623435974099</v>
      </c>
      <c r="J30" s="1">
        <v>0</v>
      </c>
      <c r="K30" s="8">
        <f t="shared" si="0"/>
        <v>1.4899989366531401</v>
      </c>
      <c r="L30" s="1">
        <v>0</v>
      </c>
      <c r="M30" s="1">
        <v>0</v>
      </c>
      <c r="N30" s="1">
        <v>0</v>
      </c>
      <c r="O30" s="1">
        <v>0.94999939203262296</v>
      </c>
      <c r="P30" s="1">
        <v>1.3953003883361801</v>
      </c>
      <c r="Q30" s="1">
        <v>0</v>
      </c>
      <c r="R30" s="1">
        <v>1.08999931812286</v>
      </c>
      <c r="S30" s="1">
        <v>24.190458297729499</v>
      </c>
      <c r="T30" s="1">
        <v>76.432640075683594</v>
      </c>
      <c r="U30" s="1">
        <v>9.2236028534410099</v>
      </c>
      <c r="V30" s="7">
        <v>702.78357853998796</v>
      </c>
    </row>
    <row r="31" spans="1:22" ht="21" customHeight="1">
      <c r="A31" s="10">
        <v>46198</v>
      </c>
      <c r="B31" s="4">
        <v>1.5799988508224501</v>
      </c>
      <c r="C31" s="3">
        <v>2.6090230941772501</v>
      </c>
      <c r="D31" s="3">
        <v>0.96839284896850597</v>
      </c>
      <c r="E31" s="3">
        <v>0</v>
      </c>
      <c r="F31" s="3">
        <v>0</v>
      </c>
      <c r="G31" s="3">
        <v>-6.4921379089355501E-4</v>
      </c>
      <c r="H31" s="3">
        <v>0</v>
      </c>
      <c r="I31" s="3">
        <v>0</v>
      </c>
      <c r="J31" s="4">
        <v>0</v>
      </c>
      <c r="K31" s="3">
        <f t="shared" si="0"/>
        <v>1.5799988508224501</v>
      </c>
      <c r="L31" s="3">
        <v>0</v>
      </c>
      <c r="M31" s="3">
        <v>0</v>
      </c>
      <c r="N31" s="4">
        <v>0</v>
      </c>
      <c r="O31" s="4">
        <v>1.04999935626984</v>
      </c>
      <c r="P31" s="4">
        <v>2.0403370857238801</v>
      </c>
      <c r="Q31" s="4">
        <v>0.42370104789733898</v>
      </c>
      <c r="R31" s="4">
        <v>1.0999993085861199</v>
      </c>
      <c r="S31" s="2">
        <v>24.350461959838899</v>
      </c>
      <c r="T31" s="2">
        <v>74.717224121093807</v>
      </c>
      <c r="U31" s="2">
        <v>8.6525360359923607</v>
      </c>
      <c r="V31" s="5">
        <v>751.79710047803405</v>
      </c>
    </row>
    <row r="32" spans="1:22" ht="21" customHeight="1">
      <c r="A32" s="9">
        <v>46199</v>
      </c>
      <c r="B32" s="1">
        <v>1.46999895572662</v>
      </c>
      <c r="C32" s="1">
        <v>1.8750848770141599</v>
      </c>
      <c r="D32" s="1">
        <v>0.59302377700805697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8">
        <f t="shared" si="0"/>
        <v>1.46999895572662</v>
      </c>
      <c r="L32" s="1">
        <v>0</v>
      </c>
      <c r="M32" s="1">
        <v>0</v>
      </c>
      <c r="N32" s="1">
        <v>0</v>
      </c>
      <c r="O32" s="1">
        <v>0.93999940156936601</v>
      </c>
      <c r="P32" s="1">
        <v>1.33049535751343</v>
      </c>
      <c r="Q32" s="1">
        <v>0.26198768615722701</v>
      </c>
      <c r="R32" s="1">
        <v>1.0999993085861199</v>
      </c>
      <c r="S32" s="1">
        <v>22.850427627563501</v>
      </c>
      <c r="T32" s="1">
        <v>75.907569885253906</v>
      </c>
      <c r="U32" s="1">
        <v>9.0308080607607106</v>
      </c>
      <c r="V32" s="7">
        <v>718.08224442768994</v>
      </c>
    </row>
    <row r="33" spans="1:22" ht="21" customHeight="1">
      <c r="A33" s="12">
        <v>46200</v>
      </c>
      <c r="B33" s="2">
        <v>1.49999892711639</v>
      </c>
      <c r="C33" s="2">
        <v>1.9059925079345701</v>
      </c>
      <c r="D33" s="2">
        <v>0.73182868957519498</v>
      </c>
      <c r="E33" s="2">
        <v>0</v>
      </c>
      <c r="F33" s="2">
        <v>0</v>
      </c>
      <c r="G33" s="2">
        <v>-6.7067146301269499E-4</v>
      </c>
      <c r="H33" s="2">
        <v>0</v>
      </c>
      <c r="I33" s="2">
        <v>0</v>
      </c>
      <c r="J33" s="2">
        <v>0</v>
      </c>
      <c r="K33" s="3">
        <f t="shared" si="0"/>
        <v>1.49999892711639</v>
      </c>
      <c r="L33" s="2">
        <v>0</v>
      </c>
      <c r="M33" s="2">
        <v>0</v>
      </c>
      <c r="N33" s="2">
        <v>0</v>
      </c>
      <c r="O33" s="2">
        <v>0.96999937295913696</v>
      </c>
      <c r="P33" s="2">
        <v>1.33902263641357</v>
      </c>
      <c r="Q33" s="2">
        <v>0.43635797500610402</v>
      </c>
      <c r="R33" s="2">
        <v>1.08999931812286</v>
      </c>
      <c r="S33" s="2">
        <v>22.680423736572301</v>
      </c>
      <c r="T33" s="2">
        <v>74.886955261230497</v>
      </c>
      <c r="U33" s="2">
        <v>10.229122911086099</v>
      </c>
      <c r="V33" s="5">
        <v>640.89760196730901</v>
      </c>
    </row>
    <row r="34" spans="1:22" ht="21" customHeight="1">
      <c r="A34" s="9">
        <v>46201</v>
      </c>
      <c r="B34" s="1">
        <v>1.5399988889694201</v>
      </c>
      <c r="C34" s="1">
        <v>2.0280179977417001</v>
      </c>
      <c r="D34" s="1">
        <v>0.758755683898926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8">
        <f t="shared" si="0"/>
        <v>1.5399988889694201</v>
      </c>
      <c r="L34" s="1">
        <v>0</v>
      </c>
      <c r="M34" s="1">
        <v>0</v>
      </c>
      <c r="N34" s="1">
        <v>0</v>
      </c>
      <c r="O34" s="1">
        <v>1.00999939441681</v>
      </c>
      <c r="P34" s="1">
        <v>1.4404616355896001</v>
      </c>
      <c r="Q34" s="1">
        <v>0.42149448394775402</v>
      </c>
      <c r="R34" s="1">
        <v>1.0999993085861199</v>
      </c>
      <c r="S34" s="1">
        <v>22.360416412353501</v>
      </c>
      <c r="T34" s="1">
        <v>74.011863708496094</v>
      </c>
      <c r="U34" s="1">
        <v>10.485538929348801</v>
      </c>
      <c r="V34" s="7">
        <v>632.51663104091097</v>
      </c>
    </row>
    <row r="35" spans="1:22" ht="21" customHeight="1">
      <c r="A35" s="10">
        <v>46202</v>
      </c>
      <c r="B35" s="4">
        <v>1.4899989366531401</v>
      </c>
      <c r="C35" s="3">
        <v>1.8491153717041</v>
      </c>
      <c r="D35" s="3">
        <v>0.48334932327270502</v>
      </c>
      <c r="E35" s="3">
        <v>0</v>
      </c>
      <c r="F35" s="3">
        <v>0</v>
      </c>
      <c r="G35" s="3">
        <v>-5.95331192016602E-4</v>
      </c>
      <c r="H35" s="3">
        <v>0</v>
      </c>
      <c r="I35" s="3">
        <v>0</v>
      </c>
      <c r="J35" s="4">
        <v>0</v>
      </c>
      <c r="K35" s="3">
        <f t="shared" si="0"/>
        <v>1.4899989366531401</v>
      </c>
      <c r="L35" s="3">
        <v>0</v>
      </c>
      <c r="M35" s="3">
        <v>0</v>
      </c>
      <c r="N35" s="4">
        <v>0</v>
      </c>
      <c r="O35" s="4">
        <v>0.95999938249588002</v>
      </c>
      <c r="P35" s="4">
        <v>1.2473907470703101</v>
      </c>
      <c r="Q35" s="4">
        <v>0.25773262977600098</v>
      </c>
      <c r="R35" s="4">
        <v>1.0999993085861199</v>
      </c>
      <c r="S35" s="2">
        <v>22.380416870117202</v>
      </c>
      <c r="T35" s="2">
        <v>75.189071655273395</v>
      </c>
      <c r="U35" s="2">
        <v>10.1826151423027</v>
      </c>
      <c r="V35" s="5">
        <v>637.88211324663905</v>
      </c>
    </row>
    <row r="36" spans="1:22" ht="21" customHeight="1">
      <c r="A36" s="9"/>
      <c r="B36" s="1"/>
      <c r="C36" s="1"/>
      <c r="D36" s="1"/>
      <c r="E36" s="1"/>
      <c r="F36" s="1"/>
      <c r="G36" s="1"/>
      <c r="H36" s="1"/>
      <c r="I36" s="1"/>
      <c r="J36" s="1"/>
      <c r="K36" s="8" t="str">
        <f t="shared" si="0"/>
        <v/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7"/>
    </row>
    <row r="37" spans="1:22" ht="21" customHeight="1">
      <c r="A37" s="12" t="s">
        <v>22</v>
      </c>
      <c r="B37" s="2">
        <v>1.75999867916107</v>
      </c>
      <c r="C37" s="2">
        <v>2.2098693847656299</v>
      </c>
      <c r="D37" s="2">
        <v>1.25834465026855</v>
      </c>
      <c r="E37" s="2">
        <v>0</v>
      </c>
      <c r="F37" s="2">
        <v>0</v>
      </c>
      <c r="G37" s="2">
        <v>-4.7206878662109402E-4</v>
      </c>
      <c r="H37" s="2">
        <v>0</v>
      </c>
      <c r="I37" s="2">
        <v>0</v>
      </c>
      <c r="J37" s="2">
        <v>0</v>
      </c>
      <c r="K37" s="3">
        <f t="shared" si="0"/>
        <v>1.75999867916107</v>
      </c>
      <c r="L37" s="2">
        <v>0</v>
      </c>
      <c r="M37" s="2">
        <v>0</v>
      </c>
      <c r="N37" s="2">
        <v>0</v>
      </c>
      <c r="O37" s="2">
        <v>1.2299991846084599</v>
      </c>
      <c r="P37" s="2">
        <v>1.8742370605468801</v>
      </c>
      <c r="Q37" s="2">
        <v>0.26945400238037098</v>
      </c>
      <c r="R37" s="2">
        <v>0.98999935388565097</v>
      </c>
      <c r="S37" s="2">
        <v>24.440464019775401</v>
      </c>
      <c r="T37" s="2">
        <v>83.540870666503906</v>
      </c>
      <c r="U37" s="2">
        <v>9.3461992043103503</v>
      </c>
      <c r="V37" s="5">
        <v>639.60726578787398</v>
      </c>
    </row>
  </sheetData>
  <mergeCells count="7">
    <mergeCell ref="A2:T3"/>
    <mergeCell ref="U2:V3"/>
    <mergeCell ref="B5:D5"/>
    <mergeCell ref="E5:G5"/>
    <mergeCell ref="H5:J5"/>
    <mergeCell ref="L5:N5"/>
    <mergeCell ref="O5:Q5"/>
  </mergeCells>
  <printOptions horizontalCentered="1"/>
  <pageMargins left="0.25" right="0.25" top="0.75" bottom="0.75" header="0.3" footer="0.3"/>
  <pageSetup scale="72" orientation="landscape" horizontalDpi="300" verticalDpi="300"/>
  <headerFooter>
    <oddHeader>&amp;LHull WWTF&amp;RPrinted on- &amp;D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37"/>
  <sheetViews>
    <sheetView tabSelected="1" workbookViewId="0"/>
  </sheetViews>
  <sheetFormatPr defaultRowHeight="12"/>
  <cols>
    <col min="1" max="1" width="10.5703125" style="36" customWidth="1"/>
    <col min="2" max="10" width="7" style="24" customWidth="1"/>
    <col min="11" max="11" width="10.85546875" style="24" bestFit="1" customWidth="1"/>
    <col min="12" max="17" width="7" style="24" customWidth="1"/>
    <col min="18" max="18" width="8.5703125" style="19" customWidth="1"/>
    <col min="19" max="19" width="8.42578125" style="19" customWidth="1"/>
    <col min="20" max="20" width="10.42578125" style="19" customWidth="1"/>
    <col min="21" max="21" width="8" style="19" customWidth="1"/>
    <col min="22" max="22" width="7.5703125" style="19" customWidth="1"/>
    <col min="23" max="16384" width="9.140625" style="19"/>
  </cols>
  <sheetData>
    <row r="1" spans="1:22" s="27" customFormat="1" ht="2.25" customHeight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22" ht="18.75" customHeight="1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4"/>
      <c r="U2" s="48" t="s">
        <v>1</v>
      </c>
      <c r="V2" s="49"/>
    </row>
    <row r="3" spans="1:22" ht="11.25" customHeight="1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7"/>
      <c r="U3" s="50"/>
      <c r="V3" s="51"/>
    </row>
    <row r="4" spans="1:22" ht="11.25" customHeight="1">
      <c r="A4" s="41"/>
      <c r="B4" s="28"/>
      <c r="C4" s="34"/>
      <c r="D4" s="17"/>
      <c r="E4" s="17"/>
      <c r="F4" s="17"/>
      <c r="G4" s="17"/>
      <c r="H4" s="11"/>
      <c r="I4" s="11"/>
      <c r="J4" s="11"/>
      <c r="K4" s="11"/>
      <c r="L4" s="11"/>
      <c r="M4" s="11"/>
      <c r="N4" s="11"/>
      <c r="O4" s="11"/>
      <c r="P4" s="20"/>
      <c r="Q4" s="20"/>
      <c r="R4" s="37"/>
      <c r="S4" s="23" t="s">
        <v>2</v>
      </c>
      <c r="T4" s="38" t="s">
        <v>2</v>
      </c>
      <c r="U4" s="30"/>
      <c r="V4" s="33"/>
    </row>
    <row r="5" spans="1:22" ht="13.5" customHeight="1">
      <c r="A5" s="25"/>
      <c r="B5" s="52" t="s">
        <v>3</v>
      </c>
      <c r="C5" s="53"/>
      <c r="D5" s="54"/>
      <c r="E5" s="52" t="s">
        <v>4</v>
      </c>
      <c r="F5" s="53"/>
      <c r="G5" s="54"/>
      <c r="H5" s="55" t="s">
        <v>5</v>
      </c>
      <c r="I5" s="55"/>
      <c r="J5" s="55"/>
      <c r="K5" s="16" t="s">
        <v>6</v>
      </c>
      <c r="L5" s="52" t="s">
        <v>7</v>
      </c>
      <c r="M5" s="53"/>
      <c r="N5" s="54"/>
      <c r="O5" s="52" t="s">
        <v>8</v>
      </c>
      <c r="P5" s="53"/>
      <c r="Q5" s="54"/>
      <c r="R5" s="40" t="s">
        <v>9</v>
      </c>
      <c r="S5" s="31" t="s">
        <v>10</v>
      </c>
      <c r="T5" s="18" t="s">
        <v>11</v>
      </c>
      <c r="U5" s="32" t="s">
        <v>12</v>
      </c>
      <c r="V5" s="18" t="s">
        <v>13</v>
      </c>
    </row>
    <row r="6" spans="1:22" s="29" customFormat="1">
      <c r="A6" s="22" t="s">
        <v>14</v>
      </c>
      <c r="B6" s="13" t="s">
        <v>15</v>
      </c>
      <c r="C6" s="14" t="s">
        <v>16</v>
      </c>
      <c r="D6" s="15" t="s">
        <v>17</v>
      </c>
      <c r="E6" s="13" t="s">
        <v>15</v>
      </c>
      <c r="F6" s="14" t="s">
        <v>16</v>
      </c>
      <c r="G6" s="15" t="s">
        <v>17</v>
      </c>
      <c r="H6" s="13" t="s">
        <v>15</v>
      </c>
      <c r="I6" s="14" t="s">
        <v>16</v>
      </c>
      <c r="J6" s="15" t="s">
        <v>17</v>
      </c>
      <c r="K6" s="13" t="s">
        <v>18</v>
      </c>
      <c r="L6" s="39" t="s">
        <v>15</v>
      </c>
      <c r="M6" s="14" t="s">
        <v>16</v>
      </c>
      <c r="N6" s="15" t="s">
        <v>17</v>
      </c>
      <c r="O6" s="13" t="s">
        <v>15</v>
      </c>
      <c r="P6" s="14" t="s">
        <v>16</v>
      </c>
      <c r="Q6" s="15" t="s">
        <v>17</v>
      </c>
      <c r="R6" s="13" t="s">
        <v>15</v>
      </c>
      <c r="S6" s="21" t="s">
        <v>15</v>
      </c>
      <c r="T6" s="21" t="s">
        <v>15</v>
      </c>
      <c r="U6" s="26" t="s">
        <v>19</v>
      </c>
      <c r="V6" s="35" t="s">
        <v>19</v>
      </c>
    </row>
    <row r="7" spans="1:22" ht="21" customHeight="1">
      <c r="A7" s="10">
        <v>46204</v>
      </c>
      <c r="B7" s="4">
        <v>1.4899989366531401</v>
      </c>
      <c r="C7" s="3">
        <v>1.8232231140136701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0</v>
      </c>
      <c r="K7" s="3">
        <f t="shared" ref="K7:K37" si="0">IF(B7="","",B7+E7+H7)</f>
        <v>1.4899989366531401</v>
      </c>
      <c r="L7" s="3">
        <v>0</v>
      </c>
      <c r="M7" s="3">
        <v>0</v>
      </c>
      <c r="N7" s="4">
        <v>0</v>
      </c>
      <c r="O7" s="4">
        <v>0.93999940156936601</v>
      </c>
      <c r="P7" s="4">
        <v>1.2378616333007799</v>
      </c>
      <c r="Q7" s="4">
        <v>0</v>
      </c>
      <c r="R7" s="4">
        <v>1.08999931812286</v>
      </c>
      <c r="S7" s="2">
        <v>23.130434036254901</v>
      </c>
      <c r="T7" s="2">
        <v>79.744285583496094</v>
      </c>
      <c r="U7" s="2">
        <v>8.2921115610261094</v>
      </c>
      <c r="V7" s="5">
        <v>710.10481734219695</v>
      </c>
    </row>
    <row r="8" spans="1:22" ht="21" customHeight="1">
      <c r="A8" s="9">
        <v>46205</v>
      </c>
      <c r="B8" s="1">
        <v>1.50999891757965</v>
      </c>
      <c r="C8" s="1">
        <v>1.79882335662842</v>
      </c>
      <c r="D8" s="1">
        <v>0</v>
      </c>
      <c r="E8" s="1">
        <v>0</v>
      </c>
      <c r="F8" s="1">
        <v>0</v>
      </c>
      <c r="G8" s="1">
        <v>-7.40289688110352E-4</v>
      </c>
      <c r="H8" s="1">
        <v>0</v>
      </c>
      <c r="I8" s="1">
        <v>0</v>
      </c>
      <c r="J8" s="1">
        <v>0</v>
      </c>
      <c r="K8" s="8">
        <f t="shared" si="0"/>
        <v>1.50999891757965</v>
      </c>
      <c r="L8" s="1">
        <v>0</v>
      </c>
      <c r="M8" s="1">
        <v>0</v>
      </c>
      <c r="N8" s="1">
        <v>0</v>
      </c>
      <c r="O8" s="1">
        <v>0.97999936342239402</v>
      </c>
      <c r="P8" s="1">
        <v>1.2332954406738299</v>
      </c>
      <c r="Q8" s="1">
        <v>0.56062984466552701</v>
      </c>
      <c r="R8" s="1">
        <v>1.08999931812286</v>
      </c>
      <c r="S8" s="1">
        <v>23.0804328918457</v>
      </c>
      <c r="T8" s="1">
        <v>73.5921630859375</v>
      </c>
      <c r="U8" s="1">
        <v>8.1197237209614297</v>
      </c>
      <c r="V8" s="7">
        <v>681.71258561887896</v>
      </c>
    </row>
    <row r="9" spans="1:22" ht="21" customHeight="1">
      <c r="A9" s="12">
        <v>46206</v>
      </c>
      <c r="B9" s="2">
        <v>1.5799988508224501</v>
      </c>
      <c r="C9" s="2">
        <v>2.29203224182129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3">
        <f t="shared" si="0"/>
        <v>1.5799988508224501</v>
      </c>
      <c r="L9" s="2">
        <v>0</v>
      </c>
      <c r="M9" s="2">
        <v>0</v>
      </c>
      <c r="N9" s="2">
        <v>0</v>
      </c>
      <c r="O9" s="2">
        <v>1.03999936580658</v>
      </c>
      <c r="P9" s="2">
        <v>1.4991588592529299</v>
      </c>
      <c r="Q9" s="2">
        <v>0.57385468482971203</v>
      </c>
      <c r="R9" s="2">
        <v>1.0599993467330899</v>
      </c>
      <c r="S9" s="2">
        <v>22.540420532226602</v>
      </c>
      <c r="T9" s="2">
        <v>75.513107299804702</v>
      </c>
      <c r="U9" s="2">
        <v>7.9879571379183698</v>
      </c>
      <c r="V9" s="5">
        <v>600.07991851742997</v>
      </c>
    </row>
    <row r="10" spans="1:22" ht="21" customHeight="1">
      <c r="A10" s="9">
        <v>46207</v>
      </c>
      <c r="B10" s="1">
        <v>1.71999871730804</v>
      </c>
      <c r="C10" s="1">
        <v>2.29468441009521</v>
      </c>
      <c r="D10" s="1">
        <v>1.10599088668823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8">
        <f t="shared" si="0"/>
        <v>1.71999871730804</v>
      </c>
      <c r="L10" s="1">
        <v>0</v>
      </c>
      <c r="M10" s="1">
        <v>0</v>
      </c>
      <c r="N10" s="1">
        <v>0</v>
      </c>
      <c r="O10" s="1">
        <v>1.17999923229218</v>
      </c>
      <c r="P10" s="1">
        <v>1.7458176612853999</v>
      </c>
      <c r="Q10" s="1">
        <v>0.65342831611633301</v>
      </c>
      <c r="R10" s="1">
        <v>0.99999934434890703</v>
      </c>
      <c r="S10" s="1">
        <v>22.740425109863299</v>
      </c>
      <c r="T10" s="1">
        <v>73.501548767089801</v>
      </c>
      <c r="U10" s="1">
        <v>7.8487084297938301</v>
      </c>
      <c r="V10" s="7">
        <v>457.10583021046</v>
      </c>
    </row>
    <row r="11" spans="1:22" ht="21" customHeight="1">
      <c r="A11" s="10">
        <v>46208</v>
      </c>
      <c r="B11" s="4">
        <v>1.67999875545502</v>
      </c>
      <c r="C11" s="3">
        <v>2.16497802734375</v>
      </c>
      <c r="D11" s="3">
        <v>1.00427865982056</v>
      </c>
      <c r="E11" s="3">
        <v>0</v>
      </c>
      <c r="F11" s="3">
        <v>0</v>
      </c>
      <c r="G11" s="3">
        <v>-9.3197822570800803E-4</v>
      </c>
      <c r="H11" s="3">
        <v>0</v>
      </c>
      <c r="I11" s="3">
        <v>0</v>
      </c>
      <c r="J11" s="4">
        <v>0</v>
      </c>
      <c r="K11" s="3">
        <f t="shared" si="0"/>
        <v>1.67999875545502</v>
      </c>
      <c r="L11" s="3">
        <v>0</v>
      </c>
      <c r="M11" s="3">
        <v>0</v>
      </c>
      <c r="N11" s="4">
        <v>0</v>
      </c>
      <c r="O11" s="4">
        <v>1.1399992704391499</v>
      </c>
      <c r="P11" s="4">
        <v>1.5261049270629901</v>
      </c>
      <c r="Q11" s="4">
        <v>0.65037417411804199</v>
      </c>
      <c r="R11" s="4">
        <v>0.99999934434890703</v>
      </c>
      <c r="S11" s="2">
        <v>23.640445709228501</v>
      </c>
      <c r="T11" s="2">
        <v>72.109352111816406</v>
      </c>
      <c r="U11" s="2">
        <v>8.3072586805146091</v>
      </c>
      <c r="V11" s="5">
        <v>101.66871610194799</v>
      </c>
    </row>
    <row r="12" spans="1:22" ht="21" customHeight="1">
      <c r="A12" s="9">
        <v>46209</v>
      </c>
      <c r="B12" s="1">
        <v>1.4799989461898799</v>
      </c>
      <c r="C12" s="1">
        <v>1.90195655822754</v>
      </c>
      <c r="D12" s="1">
        <v>0.66378831863403298</v>
      </c>
      <c r="E12" s="1">
        <v>0</v>
      </c>
      <c r="F12" s="1">
        <v>0</v>
      </c>
      <c r="G12" s="1">
        <v>-7.7247619628906304E-4</v>
      </c>
      <c r="H12" s="1">
        <v>0</v>
      </c>
      <c r="I12" s="1">
        <v>0</v>
      </c>
      <c r="J12" s="1">
        <v>0</v>
      </c>
      <c r="K12" s="8">
        <f t="shared" si="0"/>
        <v>1.4799989461898799</v>
      </c>
      <c r="L12" s="1">
        <v>0</v>
      </c>
      <c r="M12" s="1">
        <v>0</v>
      </c>
      <c r="N12" s="1">
        <v>0</v>
      </c>
      <c r="O12" s="1">
        <v>0.94999939203262296</v>
      </c>
      <c r="P12" s="1">
        <v>1.2854685783386199</v>
      </c>
      <c r="Q12" s="1">
        <v>0.30472588539123502</v>
      </c>
      <c r="R12" s="1">
        <v>1.00999939441681</v>
      </c>
      <c r="S12" s="1">
        <v>25.260482788085898</v>
      </c>
      <c r="T12" s="1">
        <v>73.197700500488295</v>
      </c>
      <c r="U12" s="1">
        <v>9.56365861090792</v>
      </c>
      <c r="V12" s="7">
        <v>426.29139519665603</v>
      </c>
    </row>
    <row r="13" spans="1:22" ht="21" customHeight="1">
      <c r="A13" s="12">
        <v>46210</v>
      </c>
      <c r="B13" s="2">
        <v>1.6599987745285001</v>
      </c>
      <c r="C13" s="2">
        <v>2.88100242614746</v>
      </c>
      <c r="D13" s="2">
        <v>0</v>
      </c>
      <c r="E13" s="2">
        <v>0</v>
      </c>
      <c r="F13" s="2">
        <v>0</v>
      </c>
      <c r="G13" s="2">
        <v>-7.5292587280273405E-4</v>
      </c>
      <c r="H13" s="2">
        <v>0.17000000178813901</v>
      </c>
      <c r="I13" s="2">
        <v>0.94500565528869596</v>
      </c>
      <c r="J13" s="2">
        <v>0</v>
      </c>
      <c r="K13" s="3">
        <f t="shared" si="0"/>
        <v>1.8299987763166392</v>
      </c>
      <c r="L13" s="2">
        <v>0</v>
      </c>
      <c r="M13" s="2">
        <v>0</v>
      </c>
      <c r="N13" s="2">
        <v>0</v>
      </c>
      <c r="O13" s="2">
        <v>1.289999127388</v>
      </c>
      <c r="P13" s="2">
        <v>5.1238698959350604</v>
      </c>
      <c r="Q13" s="2">
        <v>0.31936860084533703</v>
      </c>
      <c r="R13" s="2">
        <v>1.0299993753433201</v>
      </c>
      <c r="S13" s="2">
        <v>26.1305027008057</v>
      </c>
      <c r="T13" s="2">
        <v>80.162239074707003</v>
      </c>
      <c r="U13" s="2">
        <v>10.0295155206364</v>
      </c>
      <c r="V13" s="5">
        <v>267.64796236585403</v>
      </c>
    </row>
    <row r="14" spans="1:22" ht="21" customHeight="1">
      <c r="A14" s="9">
        <v>46211</v>
      </c>
      <c r="B14" s="1">
        <v>1.9399985074996899</v>
      </c>
      <c r="C14" s="1">
        <v>2.3970413208007799</v>
      </c>
      <c r="D14" s="1">
        <v>1.1426534652710001</v>
      </c>
      <c r="E14" s="1">
        <v>0</v>
      </c>
      <c r="F14" s="1">
        <v>0</v>
      </c>
      <c r="G14" s="1">
        <v>-6.9928169250488303E-4</v>
      </c>
      <c r="H14" s="1">
        <v>6.9999992847442599E-2</v>
      </c>
      <c r="I14" s="1">
        <v>0.91138219833374001</v>
      </c>
      <c r="J14" s="1">
        <v>0</v>
      </c>
      <c r="K14" s="8">
        <f t="shared" si="0"/>
        <v>2.0099985003471326</v>
      </c>
      <c r="L14" s="1">
        <v>0</v>
      </c>
      <c r="M14" s="1">
        <v>0</v>
      </c>
      <c r="N14" s="1">
        <v>0</v>
      </c>
      <c r="O14" s="1">
        <v>1.4799989461898799</v>
      </c>
      <c r="P14" s="1">
        <v>2.2947621345520002</v>
      </c>
      <c r="Q14" s="1">
        <v>0.73429679870605502</v>
      </c>
      <c r="R14" s="1">
        <v>0.98999935388565097</v>
      </c>
      <c r="S14" s="1">
        <v>25.900497436523398</v>
      </c>
      <c r="T14" s="1">
        <v>81.321426391601605</v>
      </c>
      <c r="U14" s="1">
        <v>10.448800509136699</v>
      </c>
      <c r="V14" s="7">
        <v>74.974383175911598</v>
      </c>
    </row>
    <row r="15" spans="1:22" ht="21" customHeight="1">
      <c r="A15" s="10">
        <v>46212</v>
      </c>
      <c r="B15" s="4">
        <v>1.7799986600875899</v>
      </c>
      <c r="C15" s="3">
        <v>2.36779689788818</v>
      </c>
      <c r="D15" s="3">
        <v>0</v>
      </c>
      <c r="E15" s="3">
        <v>0</v>
      </c>
      <c r="F15" s="3">
        <v>0</v>
      </c>
      <c r="G15" s="3">
        <v>-7.1525573730468804E-4</v>
      </c>
      <c r="H15" s="3">
        <v>0</v>
      </c>
      <c r="I15" s="3">
        <v>0</v>
      </c>
      <c r="J15" s="4">
        <v>0</v>
      </c>
      <c r="K15" s="3">
        <f t="shared" si="0"/>
        <v>1.7799986600875899</v>
      </c>
      <c r="L15" s="3">
        <v>0</v>
      </c>
      <c r="M15" s="3">
        <v>0</v>
      </c>
      <c r="N15" s="4">
        <v>0</v>
      </c>
      <c r="O15" s="4">
        <v>1.2299991846084599</v>
      </c>
      <c r="P15" s="4">
        <v>1.80484962463379</v>
      </c>
      <c r="Q15" s="4">
        <v>0</v>
      </c>
      <c r="R15" s="4">
        <v>1.0299993753433201</v>
      </c>
      <c r="S15" s="2">
        <v>24.740470886230501</v>
      </c>
      <c r="T15" s="2">
        <v>76.717201232910199</v>
      </c>
      <c r="U15" s="2">
        <v>10.6618231066902</v>
      </c>
      <c r="V15" s="5">
        <v>155.52746272401899</v>
      </c>
    </row>
    <row r="16" spans="1:22" ht="21" customHeight="1">
      <c r="A16" s="9">
        <v>46213</v>
      </c>
      <c r="B16" s="1">
        <v>1.75999867916107</v>
      </c>
      <c r="C16" s="1">
        <v>2.4287452697753902</v>
      </c>
      <c r="D16" s="1">
        <v>0.879652500152588</v>
      </c>
      <c r="E16" s="1">
        <v>0</v>
      </c>
      <c r="F16" s="1">
        <v>0</v>
      </c>
      <c r="G16" s="1">
        <v>-7.2050094604492198E-4</v>
      </c>
      <c r="H16" s="1">
        <v>0</v>
      </c>
      <c r="I16" s="1">
        <v>0</v>
      </c>
      <c r="J16" s="1">
        <v>0</v>
      </c>
      <c r="K16" s="8">
        <f t="shared" si="0"/>
        <v>1.75999867916107</v>
      </c>
      <c r="L16" s="1">
        <v>0</v>
      </c>
      <c r="M16" s="1">
        <v>0</v>
      </c>
      <c r="N16" s="1">
        <v>0</v>
      </c>
      <c r="O16" s="1">
        <v>1.2199991941452</v>
      </c>
      <c r="P16" s="1">
        <v>1.8662242889404299</v>
      </c>
      <c r="Q16" s="1">
        <v>0.579845190048218</v>
      </c>
      <c r="R16" s="1">
        <v>1.0199993848800699</v>
      </c>
      <c r="S16" s="1">
        <v>25.1504802703857</v>
      </c>
      <c r="T16" s="1">
        <v>75.130378723144503</v>
      </c>
      <c r="U16" s="1">
        <v>10.2554303474771</v>
      </c>
      <c r="V16" s="7">
        <v>473.240415402135</v>
      </c>
    </row>
    <row r="17" spans="1:22" ht="21" customHeight="1">
      <c r="A17" s="12">
        <v>46214</v>
      </c>
      <c r="B17" s="2">
        <v>1.7499986886978101</v>
      </c>
      <c r="C17" s="2">
        <v>2.57971096038818</v>
      </c>
      <c r="D17" s="2">
        <v>0.99124908447265603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3">
        <f t="shared" si="0"/>
        <v>1.7499986886978101</v>
      </c>
      <c r="L17" s="2">
        <v>0</v>
      </c>
      <c r="M17" s="2">
        <v>0</v>
      </c>
      <c r="N17" s="2">
        <v>0</v>
      </c>
      <c r="O17" s="2">
        <v>1.2199991941452</v>
      </c>
      <c r="P17" s="2">
        <v>1.99536657333374</v>
      </c>
      <c r="Q17" s="2">
        <v>0.53313755989074696</v>
      </c>
      <c r="R17" s="2">
        <v>1.0199993848800699</v>
      </c>
      <c r="S17" s="2">
        <v>26.6405143737793</v>
      </c>
      <c r="T17" s="2">
        <v>71.744445800781307</v>
      </c>
      <c r="U17" s="2">
        <v>10.1338332323998</v>
      </c>
      <c r="V17" s="5">
        <v>257.22658481027997</v>
      </c>
    </row>
    <row r="18" spans="1:22" ht="21" customHeight="1">
      <c r="A18" s="9">
        <v>46215</v>
      </c>
      <c r="B18" s="1">
        <v>1.7899986505508401</v>
      </c>
      <c r="C18" s="1">
        <v>2.5230064392089799</v>
      </c>
      <c r="D18" s="1">
        <v>0.95807361602783203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8">
        <f t="shared" si="0"/>
        <v>1.7899986505508401</v>
      </c>
      <c r="L18" s="1">
        <v>0</v>
      </c>
      <c r="M18" s="1">
        <v>0</v>
      </c>
      <c r="N18" s="1">
        <v>0</v>
      </c>
      <c r="O18" s="1">
        <v>1.2399991750717201</v>
      </c>
      <c r="P18" s="1">
        <v>1.9327645301818801</v>
      </c>
      <c r="Q18" s="1">
        <v>0.60011124610900901</v>
      </c>
      <c r="R18" s="1">
        <v>0.99999934434890703</v>
      </c>
      <c r="S18" s="1">
        <v>26.690515518188501</v>
      </c>
      <c r="T18" s="1">
        <v>73.995429992675795</v>
      </c>
      <c r="U18" s="1">
        <v>9.8871489432721305</v>
      </c>
      <c r="V18" s="7">
        <v>-201.19630882788101</v>
      </c>
    </row>
    <row r="19" spans="1:22" ht="21" customHeight="1">
      <c r="A19" s="10">
        <v>46216</v>
      </c>
      <c r="B19" s="4">
        <v>1.7299987077712999</v>
      </c>
      <c r="C19" s="3">
        <v>2.5508756637573202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0</v>
      </c>
      <c r="K19" s="3">
        <f t="shared" si="0"/>
        <v>1.7299987077712999</v>
      </c>
      <c r="L19" s="3">
        <v>0</v>
      </c>
      <c r="M19" s="3">
        <v>0</v>
      </c>
      <c r="N19" s="4">
        <v>0</v>
      </c>
      <c r="O19" s="4">
        <v>1.1899992227554299</v>
      </c>
      <c r="P19" s="4">
        <v>1.96307945251465</v>
      </c>
      <c r="Q19" s="4">
        <v>0.27493023872375499</v>
      </c>
      <c r="R19" s="4">
        <v>1.00999939441681</v>
      </c>
      <c r="S19" s="2">
        <v>26.4905109405518</v>
      </c>
      <c r="T19" s="2">
        <v>78.242851257324205</v>
      </c>
      <c r="U19" s="2">
        <v>9.6167778944862707</v>
      </c>
      <c r="V19" s="5">
        <v>29.915105240685602</v>
      </c>
    </row>
    <row r="20" spans="1:22" ht="21" customHeight="1">
      <c r="A20" s="9">
        <v>46217</v>
      </c>
      <c r="B20" s="1">
        <v>1.7499986886978101</v>
      </c>
      <c r="C20" s="1">
        <v>2.4339675903320299</v>
      </c>
      <c r="D20" s="1">
        <v>0.58186817169189498</v>
      </c>
      <c r="E20" s="1">
        <v>0</v>
      </c>
      <c r="F20" s="1">
        <v>0</v>
      </c>
      <c r="G20" s="1">
        <v>-6.9928169250488303E-4</v>
      </c>
      <c r="H20" s="1">
        <v>0</v>
      </c>
      <c r="I20" s="1">
        <v>0</v>
      </c>
      <c r="J20" s="1">
        <v>0</v>
      </c>
      <c r="K20" s="8">
        <f t="shared" si="0"/>
        <v>1.7499986886978101</v>
      </c>
      <c r="L20" s="1">
        <v>0</v>
      </c>
      <c r="M20" s="1">
        <v>0</v>
      </c>
      <c r="N20" s="1">
        <v>0</v>
      </c>
      <c r="O20" s="1">
        <v>1.2199991941452</v>
      </c>
      <c r="P20" s="1">
        <v>1.8675065040588399</v>
      </c>
      <c r="Q20" s="1">
        <v>0.35667490959167503</v>
      </c>
      <c r="R20" s="1">
        <v>0.99999934434890703</v>
      </c>
      <c r="S20" s="1">
        <v>26.170503616333001</v>
      </c>
      <c r="T20" s="1">
        <v>79.418701171875</v>
      </c>
      <c r="U20" s="1">
        <v>9.6742662748272501</v>
      </c>
      <c r="V20" s="7">
        <v>388.469217582689</v>
      </c>
    </row>
    <row r="21" spans="1:22" ht="21" customHeight="1">
      <c r="A21" s="12">
        <v>46218</v>
      </c>
      <c r="B21" s="2">
        <v>1.80999863147736</v>
      </c>
      <c r="C21" s="2">
        <v>2.3942518234252899</v>
      </c>
      <c r="D21" s="2">
        <v>0.81461286544799805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3">
        <f t="shared" si="0"/>
        <v>1.80999863147736</v>
      </c>
      <c r="L21" s="2">
        <v>0</v>
      </c>
      <c r="M21" s="2">
        <v>0</v>
      </c>
      <c r="N21" s="2">
        <v>0</v>
      </c>
      <c r="O21" s="2">
        <v>1.2699991464614899</v>
      </c>
      <c r="P21" s="2">
        <v>1.84098148345947</v>
      </c>
      <c r="Q21" s="2">
        <v>0.391898393630981</v>
      </c>
      <c r="R21" s="2">
        <v>0.97999936342239402</v>
      </c>
      <c r="S21" s="2">
        <v>26.0004997253418</v>
      </c>
      <c r="T21" s="2">
        <v>72.205474853515597</v>
      </c>
      <c r="U21" s="2">
        <v>9.84988555641457</v>
      </c>
      <c r="V21" s="5">
        <v>361.79371368207501</v>
      </c>
    </row>
    <row r="22" spans="1:22" ht="21" customHeight="1">
      <c r="A22" s="9">
        <v>46219</v>
      </c>
      <c r="B22" s="1">
        <v>1.87999856472015</v>
      </c>
      <c r="C22" s="1">
        <v>2.4015254974365199</v>
      </c>
      <c r="D22" s="1">
        <v>1.02832651138306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8">
        <f t="shared" si="0"/>
        <v>1.87999856472015</v>
      </c>
      <c r="L22" s="1">
        <v>0</v>
      </c>
      <c r="M22" s="1">
        <v>0</v>
      </c>
      <c r="N22" s="1">
        <v>0</v>
      </c>
      <c r="O22" s="1">
        <v>1.33999907970428</v>
      </c>
      <c r="P22" s="1">
        <v>1.8415832519531301</v>
      </c>
      <c r="Q22" s="1">
        <v>0.60645604133606001</v>
      </c>
      <c r="R22" s="1">
        <v>0.99999934434890703</v>
      </c>
      <c r="S22" s="1">
        <v>28.610559463501001</v>
      </c>
      <c r="T22" s="1">
        <v>73.945854187011705</v>
      </c>
      <c r="U22" s="1">
        <v>10.050545407251199</v>
      </c>
      <c r="V22" s="7">
        <v>357.23483088104803</v>
      </c>
    </row>
    <row r="23" spans="1:22" ht="21" customHeight="1">
      <c r="A23" s="10"/>
      <c r="B23" s="4"/>
      <c r="C23" s="3"/>
      <c r="D23" s="3"/>
      <c r="E23" s="3"/>
      <c r="F23" s="3"/>
      <c r="G23" s="3"/>
      <c r="H23" s="3"/>
      <c r="I23" s="3"/>
      <c r="J23" s="4"/>
      <c r="K23" s="3" t="str">
        <f t="shared" si="0"/>
        <v/>
      </c>
      <c r="L23" s="3"/>
      <c r="M23" s="3"/>
      <c r="N23" s="4"/>
      <c r="O23" s="4"/>
      <c r="P23" s="4"/>
      <c r="Q23" s="4"/>
      <c r="R23" s="4"/>
      <c r="S23" s="2"/>
      <c r="T23" s="2"/>
      <c r="U23" s="2"/>
      <c r="V23" s="5"/>
    </row>
    <row r="24" spans="1:22" ht="21" customHeight="1">
      <c r="A24" s="9"/>
      <c r="B24" s="1"/>
      <c r="C24" s="1"/>
      <c r="D24" s="1"/>
      <c r="E24" s="1"/>
      <c r="F24" s="1"/>
      <c r="G24" s="1"/>
      <c r="H24" s="1"/>
      <c r="I24" s="1"/>
      <c r="J24" s="1"/>
      <c r="K24" s="8" t="str">
        <f t="shared" si="0"/>
        <v/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7"/>
    </row>
    <row r="25" spans="1:22" ht="21" customHeight="1">
      <c r="A25" s="12"/>
      <c r="B25" s="2"/>
      <c r="C25" s="2"/>
      <c r="D25" s="2"/>
      <c r="E25" s="2"/>
      <c r="F25" s="2"/>
      <c r="G25" s="2"/>
      <c r="H25" s="2"/>
      <c r="I25" s="2"/>
      <c r="J25" s="2"/>
      <c r="K25" s="3" t="str">
        <f t="shared" si="0"/>
        <v/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5"/>
    </row>
    <row r="26" spans="1:22" ht="21" customHeight="1">
      <c r="A26" s="9"/>
      <c r="B26" s="1"/>
      <c r="C26" s="1"/>
      <c r="D26" s="1"/>
      <c r="E26" s="1"/>
      <c r="F26" s="1"/>
      <c r="G26" s="1"/>
      <c r="H26" s="1"/>
      <c r="I26" s="1"/>
      <c r="J26" s="1"/>
      <c r="K26" s="8" t="str">
        <f t="shared" si="0"/>
        <v/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7"/>
    </row>
    <row r="27" spans="1:22" ht="21" customHeight="1">
      <c r="A27" s="10"/>
      <c r="B27" s="4"/>
      <c r="C27" s="3"/>
      <c r="D27" s="3"/>
      <c r="E27" s="3"/>
      <c r="F27" s="3"/>
      <c r="G27" s="3"/>
      <c r="H27" s="3"/>
      <c r="I27" s="3"/>
      <c r="J27" s="4"/>
      <c r="K27" s="3" t="str">
        <f t="shared" si="0"/>
        <v/>
      </c>
      <c r="L27" s="3"/>
      <c r="M27" s="3"/>
      <c r="N27" s="4"/>
      <c r="O27" s="4"/>
      <c r="P27" s="4"/>
      <c r="Q27" s="4"/>
      <c r="R27" s="4"/>
      <c r="S27" s="2"/>
      <c r="T27" s="2"/>
      <c r="U27" s="2"/>
      <c r="V27" s="5"/>
    </row>
    <row r="28" spans="1:22" ht="21" customHeight="1">
      <c r="A28" s="9"/>
      <c r="B28" s="1"/>
      <c r="C28" s="1"/>
      <c r="D28" s="1"/>
      <c r="E28" s="1"/>
      <c r="F28" s="1"/>
      <c r="G28" s="1"/>
      <c r="H28" s="1"/>
      <c r="I28" s="1"/>
      <c r="J28" s="1"/>
      <c r="K28" s="8" t="str">
        <f t="shared" si="0"/>
        <v/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7"/>
    </row>
    <row r="29" spans="1:22" ht="21" customHeight="1">
      <c r="A29" s="12"/>
      <c r="B29" s="2"/>
      <c r="C29" s="2"/>
      <c r="D29" s="2"/>
      <c r="E29" s="2"/>
      <c r="F29" s="2"/>
      <c r="G29" s="2"/>
      <c r="H29" s="2"/>
      <c r="I29" s="2"/>
      <c r="J29" s="2"/>
      <c r="K29" s="3" t="str">
        <f t="shared" si="0"/>
        <v/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5"/>
    </row>
    <row r="30" spans="1:22" ht="21" customHeight="1">
      <c r="A30" s="9"/>
      <c r="B30" s="1"/>
      <c r="C30" s="1"/>
      <c r="D30" s="1"/>
      <c r="E30" s="1"/>
      <c r="F30" s="1"/>
      <c r="G30" s="1"/>
      <c r="H30" s="1"/>
      <c r="I30" s="1"/>
      <c r="J30" s="1"/>
      <c r="K30" s="8" t="str">
        <f t="shared" si="0"/>
        <v/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7"/>
    </row>
    <row r="31" spans="1:22" ht="21" customHeight="1">
      <c r="A31" s="10"/>
      <c r="B31" s="4"/>
      <c r="C31" s="3"/>
      <c r="D31" s="3"/>
      <c r="E31" s="3"/>
      <c r="F31" s="3"/>
      <c r="G31" s="3"/>
      <c r="H31" s="3"/>
      <c r="I31" s="3"/>
      <c r="J31" s="4"/>
      <c r="K31" s="3" t="str">
        <f t="shared" si="0"/>
        <v/>
      </c>
      <c r="L31" s="3"/>
      <c r="M31" s="3"/>
      <c r="N31" s="4"/>
      <c r="O31" s="4"/>
      <c r="P31" s="4"/>
      <c r="Q31" s="4"/>
      <c r="R31" s="4"/>
      <c r="S31" s="2"/>
      <c r="T31" s="2"/>
      <c r="U31" s="2"/>
      <c r="V31" s="5"/>
    </row>
    <row r="32" spans="1:22" ht="21" customHeight="1">
      <c r="A32" s="9"/>
      <c r="B32" s="1"/>
      <c r="C32" s="1"/>
      <c r="D32" s="1"/>
      <c r="E32" s="1"/>
      <c r="F32" s="1"/>
      <c r="G32" s="1"/>
      <c r="H32" s="1"/>
      <c r="I32" s="1"/>
      <c r="J32" s="1"/>
      <c r="K32" s="8" t="str">
        <f t="shared" si="0"/>
        <v/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7"/>
    </row>
    <row r="33" spans="1:22" ht="21" customHeight="1">
      <c r="A33" s="12"/>
      <c r="B33" s="2"/>
      <c r="C33" s="2"/>
      <c r="D33" s="2"/>
      <c r="E33" s="2"/>
      <c r="F33" s="2"/>
      <c r="G33" s="2"/>
      <c r="H33" s="2"/>
      <c r="I33" s="2"/>
      <c r="J33" s="2"/>
      <c r="K33" s="3" t="str">
        <f t="shared" si="0"/>
        <v/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5"/>
    </row>
    <row r="34" spans="1:22" ht="21" customHeight="1">
      <c r="A34" s="9"/>
      <c r="B34" s="1"/>
      <c r="C34" s="1"/>
      <c r="D34" s="1"/>
      <c r="E34" s="1"/>
      <c r="F34" s="1"/>
      <c r="G34" s="1"/>
      <c r="H34" s="1"/>
      <c r="I34" s="1"/>
      <c r="J34" s="1"/>
      <c r="K34" s="8" t="str">
        <f t="shared" si="0"/>
        <v/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7"/>
    </row>
    <row r="35" spans="1:22" ht="21" customHeight="1">
      <c r="A35" s="10"/>
      <c r="B35" s="4"/>
      <c r="C35" s="3"/>
      <c r="D35" s="3"/>
      <c r="E35" s="3"/>
      <c r="F35" s="3"/>
      <c r="G35" s="3"/>
      <c r="H35" s="3"/>
      <c r="I35" s="3"/>
      <c r="J35" s="4"/>
      <c r="K35" s="3" t="str">
        <f t="shared" si="0"/>
        <v/>
      </c>
      <c r="L35" s="3"/>
      <c r="M35" s="3"/>
      <c r="N35" s="4"/>
      <c r="O35" s="4"/>
      <c r="P35" s="4"/>
      <c r="Q35" s="4"/>
      <c r="R35" s="4"/>
      <c r="S35" s="2"/>
      <c r="T35" s="2"/>
      <c r="U35" s="2"/>
      <c r="V35" s="5"/>
    </row>
    <row r="36" spans="1:22" ht="21" customHeight="1">
      <c r="A36" s="9">
        <v>46233</v>
      </c>
      <c r="B36" s="1">
        <v>1.4099990129470801</v>
      </c>
      <c r="C36" s="1">
        <v>2.66153144836426</v>
      </c>
      <c r="D36" s="1">
        <v>0</v>
      </c>
      <c r="E36" s="1">
        <v>0</v>
      </c>
      <c r="F36" s="1">
        <v>0</v>
      </c>
      <c r="G36" s="1">
        <v>0</v>
      </c>
      <c r="H36" s="1">
        <v>3.9999999105930301E-2</v>
      </c>
      <c r="I36" s="1">
        <v>0.91450476646423295</v>
      </c>
      <c r="J36" s="1">
        <v>0</v>
      </c>
      <c r="K36" s="8">
        <f t="shared" si="0"/>
        <v>1.4499990120530104</v>
      </c>
      <c r="L36" s="1">
        <v>0</v>
      </c>
      <c r="M36" s="1">
        <v>0</v>
      </c>
      <c r="N36" s="1">
        <v>0</v>
      </c>
      <c r="O36" s="1">
        <v>0.93999940156936601</v>
      </c>
      <c r="P36" s="1">
        <v>4.80531978607178</v>
      </c>
      <c r="Q36" s="1">
        <v>0</v>
      </c>
      <c r="R36" s="1">
        <v>1.0699993371963501</v>
      </c>
      <c r="S36" s="1">
        <v>22.810426712036101</v>
      </c>
      <c r="T36" s="1">
        <v>78.172645568847699</v>
      </c>
      <c r="U36" s="1">
        <v>8.7097933339528897</v>
      </c>
      <c r="V36" s="7">
        <v>683.93490068600795</v>
      </c>
    </row>
    <row r="37" spans="1:22" ht="21" customHeight="1">
      <c r="A37" s="12"/>
      <c r="B37" s="2"/>
      <c r="C37" s="2"/>
      <c r="D37" s="2"/>
      <c r="E37" s="2"/>
      <c r="F37" s="2"/>
      <c r="G37" s="2"/>
      <c r="H37" s="2"/>
      <c r="I37" s="2"/>
      <c r="J37" s="2"/>
      <c r="K37" s="3" t="str">
        <f t="shared" si="0"/>
        <v/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5"/>
    </row>
  </sheetData>
  <mergeCells count="7">
    <mergeCell ref="A2:T3"/>
    <mergeCell ref="U2:V3"/>
    <mergeCell ref="B5:D5"/>
    <mergeCell ref="E5:G5"/>
    <mergeCell ref="H5:J5"/>
    <mergeCell ref="L5:N5"/>
    <mergeCell ref="O5:Q5"/>
  </mergeCells>
  <printOptions horizontalCentered="1"/>
  <pageMargins left="0.25" right="0.25" top="0.75" bottom="0.75" header="0.3" footer="0.3"/>
  <pageSetup scale="72" orientation="landscape" horizontalDpi="300" verticalDpi="300"/>
  <headerFooter>
    <oddHeader>&amp;LHull WWTF&amp;RPrinted on- &amp;D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05D109C9702D4FBA4052E3B5526BC7" ma:contentTypeVersion="3" ma:contentTypeDescription="Create a new document." ma:contentTypeScope="" ma:versionID="121d8de0b1f7cd634304fbc2949072b2">
  <xsd:schema xmlns:xsd="http://www.w3.org/2001/XMLSchema" xmlns:xs="http://www.w3.org/2001/XMLSchema" xmlns:p="http://schemas.microsoft.com/office/2006/metadata/properties" xmlns:ns2="18b6c235-5f70-4fd2-bf2f-33429b6c0af7" targetNamespace="http://schemas.microsoft.com/office/2006/metadata/properties" ma:root="true" ma:fieldsID="7e0368eab654c6581c0ff5c2eea30138" ns2:_="">
    <xsd:import namespace="18b6c235-5f70-4fd2-bf2f-33429b6c0a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6c235-5f70-4fd2-bf2f-33429b6c0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CA6493-BDB6-47B1-9616-F84C3415A483}"/>
</file>

<file path=customXml/itemProps2.xml><?xml version="1.0" encoding="utf-8"?>
<ds:datastoreItem xmlns:ds="http://schemas.openxmlformats.org/officeDocument/2006/customXml" ds:itemID="{C33AF69D-6925-474E-B8BB-7E10EFF70BE5}"/>
</file>

<file path=customXml/itemProps3.xml><?xml version="1.0" encoding="utf-8"?>
<ds:datastoreItem xmlns:ds="http://schemas.openxmlformats.org/officeDocument/2006/customXml" ds:itemID="{F40D4999-379D-4A0F-9F12-320DD368BE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2026-07-27T23:44:25Z</dcterms:created>
  <dcterms:modified xsi:type="dcterms:W3CDTF">2026-07-27T23:44:25Z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0x010100E205D109C9702D4FBA4052E3B5526BC7</vt:lpwstr>
  </property>
</Properties>
</file>